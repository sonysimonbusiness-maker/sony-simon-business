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Job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<sst xmlns="http://schemas.openxmlformats.org/spreadsheetml/2006/main" count="49" uniqueCount="47">
  <si>
    <t xml:space="preserve">Job tracker for trades</t>
  </si>
  <si>
    <t xml:space="preserve">How to use it</t>
  </si>
  <si>
    <t xml:space="preserve">1. Go to the Jobs tab. Add one row for every enquiry, quote and job.</t>
  </si>
  <si>
    <t xml:space="preserve">2. Pick a status from the drop-down: Lead, Quoted, Won, Scheduled, Done, Paid or Lost.</t>
  </si>
  <si>
    <t xml:space="preserve">3. Fill the yellow cells. Profit, balance and the follow-up warning work out for you.</t>
  </si>
  <si>
    <t xml:space="preserve">4. Quotes with a follow-up date in the past turn red, so no quote goes quiet.</t>
  </si>
  <si>
    <t xml:space="preserve">5. The Summary tab shows how many jobs and how much money sit in each status.</t>
  </si>
  <si>
    <t xml:space="preserve">Your settings</t>
  </si>
  <si>
    <t xml:space="preserve">Your labor cost per hour ($)</t>
  </si>
  <si>
    <t xml:space="preserve">What it means: the real cost to you of one hour of work, wages plus taxes. It is used to work out profit on each job.</t>
  </si>
  <si>
    <t xml:space="preserve">Yellow cells are for you to fill in. Everything else calculates. Row 2 on the Jobs tab is an example you can delete.</t>
  </si>
  <si>
    <t xml:space="preserve">Job #</t>
  </si>
  <si>
    <t xml:space="preserve">Date</t>
  </si>
  <si>
    <t xml:space="preserve">Customer</t>
  </si>
  <si>
    <t xml:space="preserve">Phone</t>
  </si>
  <si>
    <t xml:space="preserve">Job type</t>
  </si>
  <si>
    <t xml:space="preserve">Status</t>
  </si>
  <si>
    <t xml:space="preserve">Quote $</t>
  </si>
  <si>
    <t xml:space="preserve">Materials $</t>
  </si>
  <si>
    <t xml:space="preserve">Labor hours</t>
  </si>
  <si>
    <t xml:space="preserve">Labor cost $</t>
  </si>
  <si>
    <t xml:space="preserve">Profit $</t>
  </si>
  <si>
    <t xml:space="preserve">Deposit paid $</t>
  </si>
  <si>
    <t xml:space="preserve">Paid in full $</t>
  </si>
  <si>
    <t xml:space="preserve">Balance $</t>
  </si>
  <si>
    <t xml:space="preserve">Follow-up date</t>
  </si>
  <si>
    <t xml:space="preserve">Notes</t>
  </si>
  <si>
    <t xml:space="preserve">Example: Maria Lopez</t>
  </si>
  <si>
    <t xml:space="preserve">555-0100</t>
  </si>
  <si>
    <t xml:space="preserve">Water heater swap</t>
  </si>
  <si>
    <t xml:space="preserve">Quoted</t>
  </si>
  <si>
    <t xml:space="preserve">Sent quote Tuesday. Call Friday.</t>
  </si>
  <si>
    <t xml:space="preserve">Summary</t>
  </si>
  <si>
    <t xml:space="preserve">Jobs</t>
  </si>
  <si>
    <t xml:space="preserve">Quote value $</t>
  </si>
  <si>
    <t xml:space="preserve">Lead</t>
  </si>
  <si>
    <t xml:space="preserve">Won</t>
  </si>
  <si>
    <t xml:space="preserve">Scheduled</t>
  </si>
  <si>
    <t xml:space="preserve">Done</t>
  </si>
  <si>
    <t xml:space="preserve">Paid</t>
  </si>
  <si>
    <t xml:space="preserve">Lost</t>
  </si>
  <si>
    <t xml:space="preserve">Total</t>
  </si>
  <si>
    <t xml:space="preserve">Money numbers</t>
  </si>
  <si>
    <t xml:space="preserve">Profit on jobs marked Done or Paid</t>
  </si>
  <si>
    <t xml:space="preserve">Still owed on Done jobs</t>
  </si>
  <si>
    <t xml:space="preserve">Quotes waiting for an answer</t>
  </si>
  <si>
    <t xml:space="preserve">Win rate (won, scheduled, done or paid, out of all quoted and decided)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</si>
</sst>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mm/dd/yyyy"/>
    <numFmt numFmtId="167" formatCode="\$#,##0"/>
    <numFmt numFmtId="168" formatCode="0"/>
    <numFmt numFmtId="169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8D6"/>
        <bgColor rgb="FFFFFFFF"/>
      </patternFill>
    </fill>
    <fill>
      <patternFill patternType="solid">
        <fgColor rgb="FF0C1A2B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0006"/>
      </font>
      <fill>
        <patternFill>
          <bgColor rgb="FFF8C9C9"/>
        </patternFill>
      </fill>
    </dxf>
    <dxf>
      <fill>
        <patternFill>
          <bgColor rgb="FFFFE9B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B5"/>
      <rgbColor rgb="FF99CCFF"/>
      <rgbColor rgb="FFFF99CC"/>
      <rgbColor rgb="FFCC99FF"/>
      <rgbColor rgb="FFF8C9C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C1A2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  <col collapsed="false" customWidth="true" hidden="false" outlineLevel="0" max="2" min="2" style="0" width="14"/>
  </cols>
  <sheetData>
    <row r="1" customFormat="false" ht="22.0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3" t="s">
        <v>8</v>
      </c>
      <c r="B11" s="4" t="n">
        <v>35</v>
      </c>
    </row>
    <row r="12" customFormat="false" ht="15" hidden="false" customHeight="false" outlineLevel="0" collapsed="false">
      <c r="A12" s="5" t="s">
        <v>9</v>
      </c>
    </row>
    <row r="14" customFormat="false" ht="15" hidden="false" customHeight="false" outlineLevel="0" collapsed="false">
      <c r="A14" s="5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3" min="12" style="0" width="13"/>
    <col collapsed="false" customWidth="true" hidden="false" outlineLevel="0" max="14" min="14" style="0" width="11"/>
    <col collapsed="false" customWidth="true" hidden="false" outlineLevel="0" max="15" min="15" style="0" width="14"/>
    <col collapsed="false" customWidth="true" hidden="false" outlineLevel="0" max="16" min="16" style="0" width="34"/>
  </cols>
  <sheetData>
    <row r="1" customFormat="false" ht="31.5" hidden="false" customHeight="true" outlineLevel="0" collapsed="false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  <c r="M1" s="6" t="s">
        <v>23</v>
      </c>
      <c r="N1" s="6" t="s">
        <v>24</v>
      </c>
      <c r="O1" s="6" t="s">
        <v>25</v>
      </c>
      <c r="P1" s="6" t="s">
        <v>26</v>
      </c>
    </row>
    <row r="2" customFormat="false" ht="15" hidden="false" customHeight="false" outlineLevel="0" collapsed="false">
      <c r="A2" s="7" t="n">
        <v>1001</v>
      </c>
      <c r="B2" s="8" t="n">
        <v>46307</v>
      </c>
      <c r="C2" s="7" t="s">
        <v>27</v>
      </c>
      <c r="D2" s="7" t="s">
        <v>28</v>
      </c>
      <c r="E2" s="7" t="s">
        <v>29</v>
      </c>
      <c r="F2" s="7" t="s">
        <v>30</v>
      </c>
      <c r="G2" s="9" t="n">
        <v>1850</v>
      </c>
      <c r="H2" s="9" t="n">
        <v>980</v>
      </c>
      <c r="I2" s="7" t="n">
        <v>6</v>
      </c>
      <c r="J2" s="10" t="n">
        <f aca="false">IF(I2="","",I2*'Start here'!$B$11)</f>
        <v>210</v>
      </c>
      <c r="K2" s="10" t="n">
        <f aca="false">IF(G2="","",G2-N(H2)-N(J2))</f>
        <v>660</v>
      </c>
      <c r="L2" s="9"/>
      <c r="M2" s="9"/>
      <c r="N2" s="10" t="n">
        <f aca="false">IF(G2="","",G2-N(L2)-N(M2))</f>
        <v>1850</v>
      </c>
      <c r="O2" s="8" t="n">
        <v>46327</v>
      </c>
      <c r="P2" s="7" t="s">
        <v>31</v>
      </c>
    </row>
    <row r="3" customFormat="false" ht="15" hidden="false" customHeight="false" outlineLevel="0" collapsed="false">
      <c r="A3" s="7"/>
      <c r="B3" s="8"/>
      <c r="C3" s="7"/>
      <c r="D3" s="7"/>
      <c r="E3" s="7"/>
      <c r="F3" s="7"/>
      <c r="G3" s="9"/>
      <c r="H3" s="9"/>
      <c r="I3" s="7"/>
      <c r="J3" s="10" t="str">
        <f aca="false">IF(I3="","",I3*'Start here'!$B$11)</f>
        <v/>
      </c>
      <c r="K3" s="10" t="str">
        <f aca="false">IF(G3="","",G3-N(H3)-N(J3))</f>
        <v/>
      </c>
      <c r="L3" s="9"/>
      <c r="M3" s="9"/>
      <c r="N3" s="10" t="str">
        <f aca="false">IF(G3="","",G3-N(L3)-N(M3))</f>
        <v/>
      </c>
      <c r="O3" s="8"/>
      <c r="P3" s="7"/>
    </row>
    <row r="4" customFormat="false" ht="15" hidden="false" customHeight="false" outlineLevel="0" collapsed="false">
      <c r="A4" s="7"/>
      <c r="B4" s="8"/>
      <c r="C4" s="7"/>
      <c r="D4" s="7"/>
      <c r="E4" s="7"/>
      <c r="F4" s="7"/>
      <c r="G4" s="9"/>
      <c r="H4" s="9"/>
      <c r="I4" s="7"/>
      <c r="J4" s="10" t="str">
        <f aca="false">IF(I4="","",I4*'Start here'!$B$11)</f>
        <v/>
      </c>
      <c r="K4" s="10" t="str">
        <f aca="false">IF(G4="","",G4-N(H4)-N(J4))</f>
        <v/>
      </c>
      <c r="L4" s="9"/>
      <c r="M4" s="9"/>
      <c r="N4" s="10" t="str">
        <f aca="false">IF(G4="","",G4-N(L4)-N(M4))</f>
        <v/>
      </c>
      <c r="O4" s="8"/>
      <c r="P4" s="7"/>
    </row>
    <row r="5" customFormat="false" ht="15" hidden="false" customHeight="false" outlineLevel="0" collapsed="false">
      <c r="A5" s="7"/>
      <c r="B5" s="8"/>
      <c r="C5" s="7"/>
      <c r="D5" s="7"/>
      <c r="E5" s="7"/>
      <c r="F5" s="7"/>
      <c r="G5" s="9"/>
      <c r="H5" s="9"/>
      <c r="I5" s="7"/>
      <c r="J5" s="10" t="str">
        <f aca="false">IF(I5="","",I5*'Start here'!$B$11)</f>
        <v/>
      </c>
      <c r="K5" s="10" t="str">
        <f aca="false">IF(G5="","",G5-N(H5)-N(J5))</f>
        <v/>
      </c>
      <c r="L5" s="9"/>
      <c r="M5" s="9"/>
      <c r="N5" s="10" t="str">
        <f aca="false">IF(G5="","",G5-N(L5)-N(M5))</f>
        <v/>
      </c>
      <c r="O5" s="8"/>
      <c r="P5" s="7"/>
    </row>
    <row r="6" customFormat="false" ht="15" hidden="false" customHeight="false" outlineLevel="0" collapsed="false">
      <c r="A6" s="7"/>
      <c r="B6" s="8"/>
      <c r="C6" s="7"/>
      <c r="D6" s="7"/>
      <c r="E6" s="7"/>
      <c r="F6" s="7"/>
      <c r="G6" s="9"/>
      <c r="H6" s="9"/>
      <c r="I6" s="7"/>
      <c r="J6" s="10" t="str">
        <f aca="false">IF(I6="","",I6*'Start here'!$B$11)</f>
        <v/>
      </c>
      <c r="K6" s="10" t="str">
        <f aca="false">IF(G6="","",G6-N(H6)-N(J6))</f>
        <v/>
      </c>
      <c r="L6" s="9"/>
      <c r="M6" s="9"/>
      <c r="N6" s="10" t="str">
        <f aca="false">IF(G6="","",G6-N(L6)-N(M6))</f>
        <v/>
      </c>
      <c r="O6" s="8"/>
      <c r="P6" s="7"/>
    </row>
    <row r="7" customFormat="false" ht="15" hidden="false" customHeight="false" outlineLevel="0" collapsed="false">
      <c r="A7" s="7"/>
      <c r="B7" s="8"/>
      <c r="C7" s="7"/>
      <c r="D7" s="7"/>
      <c r="E7" s="7"/>
      <c r="F7" s="7"/>
      <c r="G7" s="9"/>
      <c r="H7" s="9"/>
      <c r="I7" s="7"/>
      <c r="J7" s="10" t="str">
        <f aca="false">IF(I7="","",I7*'Start here'!$B$11)</f>
        <v/>
      </c>
      <c r="K7" s="10" t="str">
        <f aca="false">IF(G7="","",G7-N(H7)-N(J7))</f>
        <v/>
      </c>
      <c r="L7" s="9"/>
      <c r="M7" s="9"/>
      <c r="N7" s="10" t="str">
        <f aca="false">IF(G7="","",G7-N(L7)-N(M7))</f>
        <v/>
      </c>
      <c r="O7" s="8"/>
      <c r="P7" s="7"/>
    </row>
    <row r="8" customFormat="false" ht="15" hidden="false" customHeight="false" outlineLevel="0" collapsed="false">
      <c r="A8" s="7"/>
      <c r="B8" s="8"/>
      <c r="C8" s="7"/>
      <c r="D8" s="7"/>
      <c r="E8" s="7"/>
      <c r="F8" s="7"/>
      <c r="G8" s="9"/>
      <c r="H8" s="9"/>
      <c r="I8" s="7"/>
      <c r="J8" s="10" t="str">
        <f aca="false">IF(I8="","",I8*'Start here'!$B$11)</f>
        <v/>
      </c>
      <c r="K8" s="10" t="str">
        <f aca="false">IF(G8="","",G8-N(H8)-N(J8))</f>
        <v/>
      </c>
      <c r="L8" s="9"/>
      <c r="M8" s="9"/>
      <c r="N8" s="10" t="str">
        <f aca="false">IF(G8="","",G8-N(L8)-N(M8))</f>
        <v/>
      </c>
      <c r="O8" s="8"/>
      <c r="P8" s="7"/>
    </row>
    <row r="9" customFormat="false" ht="15" hidden="false" customHeight="false" outlineLevel="0" collapsed="false">
      <c r="A9" s="7"/>
      <c r="B9" s="8"/>
      <c r="C9" s="7"/>
      <c r="D9" s="7"/>
      <c r="E9" s="7"/>
      <c r="F9" s="7"/>
      <c r="G9" s="9"/>
      <c r="H9" s="9"/>
      <c r="I9" s="7"/>
      <c r="J9" s="10" t="str">
        <f aca="false">IF(I9="","",I9*'Start here'!$B$11)</f>
        <v/>
      </c>
      <c r="K9" s="10" t="str">
        <f aca="false">IF(G9="","",G9-N(H9)-N(J9))</f>
        <v/>
      </c>
      <c r="L9" s="9"/>
      <c r="M9" s="9"/>
      <c r="N9" s="10" t="str">
        <f aca="false">IF(G9="","",G9-N(L9)-N(M9))</f>
        <v/>
      </c>
      <c r="O9" s="8"/>
      <c r="P9" s="7"/>
    </row>
    <row r="10" customFormat="false" ht="15" hidden="false" customHeight="false" outlineLevel="0" collapsed="false">
      <c r="A10" s="7"/>
      <c r="B10" s="8"/>
      <c r="C10" s="7"/>
      <c r="D10" s="7"/>
      <c r="E10" s="7"/>
      <c r="F10" s="7"/>
      <c r="G10" s="9"/>
      <c r="H10" s="9"/>
      <c r="I10" s="7"/>
      <c r="J10" s="10" t="str">
        <f aca="false">IF(I10="","",I10*'Start here'!$B$11)</f>
        <v/>
      </c>
      <c r="K10" s="10" t="str">
        <f aca="false">IF(G10="","",G10-N(H10)-N(J10))</f>
        <v/>
      </c>
      <c r="L10" s="9"/>
      <c r="M10" s="9"/>
      <c r="N10" s="10" t="str">
        <f aca="false">IF(G10="","",G10-N(L10)-N(M10))</f>
        <v/>
      </c>
      <c r="O10" s="8"/>
      <c r="P10" s="7"/>
    </row>
    <row r="11" customFormat="false" ht="15" hidden="false" customHeight="false" outlineLevel="0" collapsed="false">
      <c r="A11" s="7"/>
      <c r="B11" s="8"/>
      <c r="C11" s="7"/>
      <c r="D11" s="7"/>
      <c r="E11" s="7"/>
      <c r="F11" s="7"/>
      <c r="G11" s="9"/>
      <c r="H11" s="9"/>
      <c r="I11" s="7"/>
      <c r="J11" s="10" t="str">
        <f aca="false">IF(I11="","",I11*'Start here'!$B$11)</f>
        <v/>
      </c>
      <c r="K11" s="10" t="str">
        <f aca="false">IF(G11="","",G11-N(H11)-N(J11))</f>
        <v/>
      </c>
      <c r="L11" s="9"/>
      <c r="M11" s="9"/>
      <c r="N11" s="10" t="str">
        <f aca="false">IF(G11="","",G11-N(L11)-N(M11))</f>
        <v/>
      </c>
      <c r="O11" s="8"/>
      <c r="P11" s="7"/>
    </row>
    <row r="12" customFormat="false" ht="15" hidden="false" customHeight="false" outlineLevel="0" collapsed="false">
      <c r="A12" s="7"/>
      <c r="B12" s="8"/>
      <c r="C12" s="7"/>
      <c r="D12" s="7"/>
      <c r="E12" s="7"/>
      <c r="F12" s="7"/>
      <c r="G12" s="9"/>
      <c r="H12" s="9"/>
      <c r="I12" s="7"/>
      <c r="J12" s="10" t="str">
        <f aca="false">IF(I12="","",I12*'Start here'!$B$11)</f>
        <v/>
      </c>
      <c r="K12" s="10" t="str">
        <f aca="false">IF(G12="","",G12-N(H12)-N(J12))</f>
        <v/>
      </c>
      <c r="L12" s="9"/>
      <c r="M12" s="9"/>
      <c r="N12" s="10" t="str">
        <f aca="false">IF(G12="","",G12-N(L12)-N(M12))</f>
        <v/>
      </c>
      <c r="O12" s="8"/>
      <c r="P12" s="7"/>
    </row>
    <row r="13" customFormat="false" ht="15" hidden="false" customHeight="false" outlineLevel="0" collapsed="false">
      <c r="A13" s="7"/>
      <c r="B13" s="8"/>
      <c r="C13" s="7"/>
      <c r="D13" s="7"/>
      <c r="E13" s="7"/>
      <c r="F13" s="7"/>
      <c r="G13" s="9"/>
      <c r="H13" s="9"/>
      <c r="I13" s="7"/>
      <c r="J13" s="10" t="str">
        <f aca="false">IF(I13="","",I13*'Start here'!$B$11)</f>
        <v/>
      </c>
      <c r="K13" s="10" t="str">
        <f aca="false">IF(G13="","",G13-N(H13)-N(J13))</f>
        <v/>
      </c>
      <c r="L13" s="9"/>
      <c r="M13" s="9"/>
      <c r="N13" s="10" t="str">
        <f aca="false">IF(G13="","",G13-N(L13)-N(M13))</f>
        <v/>
      </c>
      <c r="O13" s="8"/>
      <c r="P13" s="7"/>
    </row>
    <row r="14" customFormat="false" ht="15" hidden="false" customHeight="false" outlineLevel="0" collapsed="false">
      <c r="A14" s="7"/>
      <c r="B14" s="8"/>
      <c r="C14" s="7"/>
      <c r="D14" s="7"/>
      <c r="E14" s="7"/>
      <c r="F14" s="7"/>
      <c r="G14" s="9"/>
      <c r="H14" s="9"/>
      <c r="I14" s="7"/>
      <c r="J14" s="10" t="str">
        <f aca="false">IF(I14="","",I14*'Start here'!$B$11)</f>
        <v/>
      </c>
      <c r="K14" s="10" t="str">
        <f aca="false">IF(G14="","",G14-N(H14)-N(J14))</f>
        <v/>
      </c>
      <c r="L14" s="9"/>
      <c r="M14" s="9"/>
      <c r="N14" s="10" t="str">
        <f aca="false">IF(G14="","",G14-N(L14)-N(M14))</f>
        <v/>
      </c>
      <c r="O14" s="8"/>
      <c r="P14" s="7"/>
    </row>
    <row r="15" customFormat="false" ht="15" hidden="false" customHeight="false" outlineLevel="0" collapsed="false">
      <c r="A15" s="7"/>
      <c r="B15" s="8"/>
      <c r="C15" s="7"/>
      <c r="D15" s="7"/>
      <c r="E15" s="7"/>
      <c r="F15" s="7"/>
      <c r="G15" s="9"/>
      <c r="H15" s="9"/>
      <c r="I15" s="7"/>
      <c r="J15" s="10" t="str">
        <f aca="false">IF(I15="","",I15*'Start here'!$B$11)</f>
        <v/>
      </c>
      <c r="K15" s="10" t="str">
        <f aca="false">IF(G15="","",G15-N(H15)-N(J15))</f>
        <v/>
      </c>
      <c r="L15" s="9"/>
      <c r="M15" s="9"/>
      <c r="N15" s="10" t="str">
        <f aca="false">IF(G15="","",G15-N(L15)-N(M15))</f>
        <v/>
      </c>
      <c r="O15" s="8"/>
      <c r="P15" s="7"/>
    </row>
    <row r="16" customFormat="false" ht="15" hidden="false" customHeight="false" outlineLevel="0" collapsed="false">
      <c r="A16" s="7"/>
      <c r="B16" s="8"/>
      <c r="C16" s="7"/>
      <c r="D16" s="7"/>
      <c r="E16" s="7"/>
      <c r="F16" s="7"/>
      <c r="G16" s="9"/>
      <c r="H16" s="9"/>
      <c r="I16" s="7"/>
      <c r="J16" s="10" t="str">
        <f aca="false">IF(I16="","",I16*'Start here'!$B$11)</f>
        <v/>
      </c>
      <c r="K16" s="10" t="str">
        <f aca="false">IF(G16="","",G16-N(H16)-N(J16))</f>
        <v/>
      </c>
      <c r="L16" s="9"/>
      <c r="M16" s="9"/>
      <c r="N16" s="10" t="str">
        <f aca="false">IF(G16="","",G16-N(L16)-N(M16))</f>
        <v/>
      </c>
      <c r="O16" s="8"/>
      <c r="P16" s="7"/>
    </row>
    <row r="17" customFormat="false" ht="15" hidden="false" customHeight="false" outlineLevel="0" collapsed="false">
      <c r="A17" s="7"/>
      <c r="B17" s="8"/>
      <c r="C17" s="7"/>
      <c r="D17" s="7"/>
      <c r="E17" s="7"/>
      <c r="F17" s="7"/>
      <c r="G17" s="9"/>
      <c r="H17" s="9"/>
      <c r="I17" s="7"/>
      <c r="J17" s="10" t="str">
        <f aca="false">IF(I17="","",I17*'Start here'!$B$11)</f>
        <v/>
      </c>
      <c r="K17" s="10" t="str">
        <f aca="false">IF(G17="","",G17-N(H17)-N(J17))</f>
        <v/>
      </c>
      <c r="L17" s="9"/>
      <c r="M17" s="9"/>
      <c r="N17" s="10" t="str">
        <f aca="false">IF(G17="","",G17-N(L17)-N(M17))</f>
        <v/>
      </c>
      <c r="O17" s="8"/>
      <c r="P17" s="7"/>
    </row>
    <row r="18" customFormat="false" ht="15" hidden="false" customHeight="false" outlineLevel="0" collapsed="false">
      <c r="A18" s="7"/>
      <c r="B18" s="8"/>
      <c r="C18" s="7"/>
      <c r="D18" s="7"/>
      <c r="E18" s="7"/>
      <c r="F18" s="7"/>
      <c r="G18" s="9"/>
      <c r="H18" s="9"/>
      <c r="I18" s="7"/>
      <c r="J18" s="10" t="str">
        <f aca="false">IF(I18="","",I18*'Start here'!$B$11)</f>
        <v/>
      </c>
      <c r="K18" s="10" t="str">
        <f aca="false">IF(G18="","",G18-N(H18)-N(J18))</f>
        <v/>
      </c>
      <c r="L18" s="9"/>
      <c r="M18" s="9"/>
      <c r="N18" s="10" t="str">
        <f aca="false">IF(G18="","",G18-N(L18)-N(M18))</f>
        <v/>
      </c>
      <c r="O18" s="8"/>
      <c r="P18" s="7"/>
    </row>
    <row r="19" customFormat="false" ht="15" hidden="false" customHeight="false" outlineLevel="0" collapsed="false">
      <c r="A19" s="7"/>
      <c r="B19" s="8"/>
      <c r="C19" s="7"/>
      <c r="D19" s="7"/>
      <c r="E19" s="7"/>
      <c r="F19" s="7"/>
      <c r="G19" s="9"/>
      <c r="H19" s="9"/>
      <c r="I19" s="7"/>
      <c r="J19" s="10" t="str">
        <f aca="false">IF(I19="","",I19*'Start here'!$B$11)</f>
        <v/>
      </c>
      <c r="K19" s="10" t="str">
        <f aca="false">IF(G19="","",G19-N(H19)-N(J19))</f>
        <v/>
      </c>
      <c r="L19" s="9"/>
      <c r="M19" s="9"/>
      <c r="N19" s="10" t="str">
        <f aca="false">IF(G19="","",G19-N(L19)-N(M19))</f>
        <v/>
      </c>
      <c r="O19" s="8"/>
      <c r="P19" s="7"/>
    </row>
    <row r="20" customFormat="false" ht="15" hidden="false" customHeight="false" outlineLevel="0" collapsed="false">
      <c r="A20" s="7"/>
      <c r="B20" s="8"/>
      <c r="C20" s="7"/>
      <c r="D20" s="7"/>
      <c r="E20" s="7"/>
      <c r="F20" s="7"/>
      <c r="G20" s="9"/>
      <c r="H20" s="9"/>
      <c r="I20" s="7"/>
      <c r="J20" s="10" t="str">
        <f aca="false">IF(I20="","",I20*'Start here'!$B$11)</f>
        <v/>
      </c>
      <c r="K20" s="10" t="str">
        <f aca="false">IF(G20="","",G20-N(H20)-N(J20))</f>
        <v/>
      </c>
      <c r="L20" s="9"/>
      <c r="M20" s="9"/>
      <c r="N20" s="10" t="str">
        <f aca="false">IF(G20="","",G20-N(L20)-N(M20))</f>
        <v/>
      </c>
      <c r="O20" s="8"/>
      <c r="P20" s="7"/>
    </row>
    <row r="21" customFormat="false" ht="15" hidden="false" customHeight="false" outlineLevel="0" collapsed="false">
      <c r="A21" s="7"/>
      <c r="B21" s="8"/>
      <c r="C21" s="7"/>
      <c r="D21" s="7"/>
      <c r="E21" s="7"/>
      <c r="F21" s="7"/>
      <c r="G21" s="9"/>
      <c r="H21" s="9"/>
      <c r="I21" s="7"/>
      <c r="J21" s="10" t="str">
        <f aca="false">IF(I21="","",I21*'Start here'!$B$11)</f>
        <v/>
      </c>
      <c r="K21" s="10" t="str">
        <f aca="false">IF(G21="","",G21-N(H21)-N(J21))</f>
        <v/>
      </c>
      <c r="L21" s="9"/>
      <c r="M21" s="9"/>
      <c r="N21" s="10" t="str">
        <f aca="false">IF(G21="","",G21-N(L21)-N(M21))</f>
        <v/>
      </c>
      <c r="O21" s="8"/>
      <c r="P21" s="7"/>
    </row>
    <row r="22" customFormat="false" ht="15" hidden="false" customHeight="false" outlineLevel="0" collapsed="false">
      <c r="A22" s="7"/>
      <c r="B22" s="8"/>
      <c r="C22" s="7"/>
      <c r="D22" s="7"/>
      <c r="E22" s="7"/>
      <c r="F22" s="7"/>
      <c r="G22" s="9"/>
      <c r="H22" s="9"/>
      <c r="I22" s="7"/>
      <c r="J22" s="10" t="str">
        <f aca="false">IF(I22="","",I22*'Start here'!$B$11)</f>
        <v/>
      </c>
      <c r="K22" s="10" t="str">
        <f aca="false">IF(G22="","",G22-N(H22)-N(J22))</f>
        <v/>
      </c>
      <c r="L22" s="9"/>
      <c r="M22" s="9"/>
      <c r="N22" s="10" t="str">
        <f aca="false">IF(G22="","",G22-N(L22)-N(M22))</f>
        <v/>
      </c>
      <c r="O22" s="8"/>
      <c r="P22" s="7"/>
    </row>
    <row r="23" customFormat="false" ht="15" hidden="false" customHeight="false" outlineLevel="0" collapsed="false">
      <c r="A23" s="7"/>
      <c r="B23" s="8"/>
      <c r="C23" s="7"/>
      <c r="D23" s="7"/>
      <c r="E23" s="7"/>
      <c r="F23" s="7"/>
      <c r="G23" s="9"/>
      <c r="H23" s="9"/>
      <c r="I23" s="7"/>
      <c r="J23" s="10" t="str">
        <f aca="false">IF(I23="","",I23*'Start here'!$B$11)</f>
        <v/>
      </c>
      <c r="K23" s="10" t="str">
        <f aca="false">IF(G23="","",G23-N(H23)-N(J23))</f>
        <v/>
      </c>
      <c r="L23" s="9"/>
      <c r="M23" s="9"/>
      <c r="N23" s="10" t="str">
        <f aca="false">IF(G23="","",G23-N(L23)-N(M23))</f>
        <v/>
      </c>
      <c r="O23" s="8"/>
      <c r="P23" s="7"/>
    </row>
    <row r="24" customFormat="false" ht="15" hidden="false" customHeight="false" outlineLevel="0" collapsed="false">
      <c r="A24" s="7"/>
      <c r="B24" s="8"/>
      <c r="C24" s="7"/>
      <c r="D24" s="7"/>
      <c r="E24" s="7"/>
      <c r="F24" s="7"/>
      <c r="G24" s="9"/>
      <c r="H24" s="9"/>
      <c r="I24" s="7"/>
      <c r="J24" s="10" t="str">
        <f aca="false">IF(I24="","",I24*'Start here'!$B$11)</f>
        <v/>
      </c>
      <c r="K24" s="10" t="str">
        <f aca="false">IF(G24="","",G24-N(H24)-N(J24))</f>
        <v/>
      </c>
      <c r="L24" s="9"/>
      <c r="M24" s="9"/>
      <c r="N24" s="10" t="str">
        <f aca="false">IF(G24="","",G24-N(L24)-N(M24))</f>
        <v/>
      </c>
      <c r="O24" s="8"/>
      <c r="P24" s="7"/>
    </row>
    <row r="25" customFormat="false" ht="15" hidden="false" customHeight="false" outlineLevel="0" collapsed="false">
      <c r="A25" s="7"/>
      <c r="B25" s="8"/>
      <c r="C25" s="7"/>
      <c r="D25" s="7"/>
      <c r="E25" s="7"/>
      <c r="F25" s="7"/>
      <c r="G25" s="9"/>
      <c r="H25" s="9"/>
      <c r="I25" s="7"/>
      <c r="J25" s="10" t="str">
        <f aca="false">IF(I25="","",I25*'Start here'!$B$11)</f>
        <v/>
      </c>
      <c r="K25" s="10" t="str">
        <f aca="false">IF(G25="","",G25-N(H25)-N(J25))</f>
        <v/>
      </c>
      <c r="L25" s="9"/>
      <c r="M25" s="9"/>
      <c r="N25" s="10" t="str">
        <f aca="false">IF(G25="","",G25-N(L25)-N(M25))</f>
        <v/>
      </c>
      <c r="O25" s="8"/>
      <c r="P25" s="7"/>
    </row>
    <row r="26" customFormat="false" ht="15" hidden="false" customHeight="false" outlineLevel="0" collapsed="false">
      <c r="A26" s="7"/>
      <c r="B26" s="8"/>
      <c r="C26" s="7"/>
      <c r="D26" s="7"/>
      <c r="E26" s="7"/>
      <c r="F26" s="7"/>
      <c r="G26" s="9"/>
      <c r="H26" s="9"/>
      <c r="I26" s="7"/>
      <c r="J26" s="10" t="str">
        <f aca="false">IF(I26="","",I26*'Start here'!$B$11)</f>
        <v/>
      </c>
      <c r="K26" s="10" t="str">
        <f aca="false">IF(G26="","",G26-N(H26)-N(J26))</f>
        <v/>
      </c>
      <c r="L26" s="9"/>
      <c r="M26" s="9"/>
      <c r="N26" s="10" t="str">
        <f aca="false">IF(G26="","",G26-N(L26)-N(M26))</f>
        <v/>
      </c>
      <c r="O26" s="8"/>
      <c r="P26" s="7"/>
    </row>
    <row r="27" customFormat="false" ht="15" hidden="false" customHeight="false" outlineLevel="0" collapsed="false">
      <c r="A27" s="7"/>
      <c r="B27" s="8"/>
      <c r="C27" s="7"/>
      <c r="D27" s="7"/>
      <c r="E27" s="7"/>
      <c r="F27" s="7"/>
      <c r="G27" s="9"/>
      <c r="H27" s="9"/>
      <c r="I27" s="7"/>
      <c r="J27" s="10" t="str">
        <f aca="false">IF(I27="","",I27*'Start here'!$B$11)</f>
        <v/>
      </c>
      <c r="K27" s="10" t="str">
        <f aca="false">IF(G27="","",G27-N(H27)-N(J27))</f>
        <v/>
      </c>
      <c r="L27" s="9"/>
      <c r="M27" s="9"/>
      <c r="N27" s="10" t="str">
        <f aca="false">IF(G27="","",G27-N(L27)-N(M27))</f>
        <v/>
      </c>
      <c r="O27" s="8"/>
      <c r="P27" s="7"/>
    </row>
    <row r="28" customFormat="false" ht="15" hidden="false" customHeight="false" outlineLevel="0" collapsed="false">
      <c r="A28" s="7"/>
      <c r="B28" s="8"/>
      <c r="C28" s="7"/>
      <c r="D28" s="7"/>
      <c r="E28" s="7"/>
      <c r="F28" s="7"/>
      <c r="G28" s="9"/>
      <c r="H28" s="9"/>
      <c r="I28" s="7"/>
      <c r="J28" s="10" t="str">
        <f aca="false">IF(I28="","",I28*'Start here'!$B$11)</f>
        <v/>
      </c>
      <c r="K28" s="10" t="str">
        <f aca="false">IF(G28="","",G28-N(H28)-N(J28))</f>
        <v/>
      </c>
      <c r="L28" s="9"/>
      <c r="M28" s="9"/>
      <c r="N28" s="10" t="str">
        <f aca="false">IF(G28="","",G28-N(L28)-N(M28))</f>
        <v/>
      </c>
      <c r="O28" s="8"/>
      <c r="P28" s="7"/>
    </row>
    <row r="29" customFormat="false" ht="15" hidden="false" customHeight="false" outlineLevel="0" collapsed="false">
      <c r="A29" s="7"/>
      <c r="B29" s="8"/>
      <c r="C29" s="7"/>
      <c r="D29" s="7"/>
      <c r="E29" s="7"/>
      <c r="F29" s="7"/>
      <c r="G29" s="9"/>
      <c r="H29" s="9"/>
      <c r="I29" s="7"/>
      <c r="J29" s="10" t="str">
        <f aca="false">IF(I29="","",I29*'Start here'!$B$11)</f>
        <v/>
      </c>
      <c r="K29" s="10" t="str">
        <f aca="false">IF(G29="","",G29-N(H29)-N(J29))</f>
        <v/>
      </c>
      <c r="L29" s="9"/>
      <c r="M29" s="9"/>
      <c r="N29" s="10" t="str">
        <f aca="false">IF(G29="","",G29-N(L29)-N(M29))</f>
        <v/>
      </c>
      <c r="O29" s="8"/>
      <c r="P29" s="7"/>
    </row>
    <row r="30" customFormat="false" ht="15" hidden="false" customHeight="false" outlineLevel="0" collapsed="false">
      <c r="A30" s="7"/>
      <c r="B30" s="8"/>
      <c r="C30" s="7"/>
      <c r="D30" s="7"/>
      <c r="E30" s="7"/>
      <c r="F30" s="7"/>
      <c r="G30" s="9"/>
      <c r="H30" s="9"/>
      <c r="I30" s="7"/>
      <c r="J30" s="10" t="str">
        <f aca="false">IF(I30="","",I30*'Start here'!$B$11)</f>
        <v/>
      </c>
      <c r="K30" s="10" t="str">
        <f aca="false">IF(G30="","",G30-N(H30)-N(J30))</f>
        <v/>
      </c>
      <c r="L30" s="9"/>
      <c r="M30" s="9"/>
      <c r="N30" s="10" t="str">
        <f aca="false">IF(G30="","",G30-N(L30)-N(M30))</f>
        <v/>
      </c>
      <c r="O30" s="8"/>
      <c r="P30" s="7"/>
    </row>
    <row r="31" customFormat="false" ht="15" hidden="false" customHeight="false" outlineLevel="0" collapsed="false">
      <c r="A31" s="7"/>
      <c r="B31" s="8"/>
      <c r="C31" s="7"/>
      <c r="D31" s="7"/>
      <c r="E31" s="7"/>
      <c r="F31" s="7"/>
      <c r="G31" s="9"/>
      <c r="H31" s="9"/>
      <c r="I31" s="7"/>
      <c r="J31" s="10" t="str">
        <f aca="false">IF(I31="","",I31*'Start here'!$B$11)</f>
        <v/>
      </c>
      <c r="K31" s="10" t="str">
        <f aca="false">IF(G31="","",G31-N(H31)-N(J31))</f>
        <v/>
      </c>
      <c r="L31" s="9"/>
      <c r="M31" s="9"/>
      <c r="N31" s="10" t="str">
        <f aca="false">IF(G31="","",G31-N(L31)-N(M31))</f>
        <v/>
      </c>
      <c r="O31" s="8"/>
      <c r="P31" s="7"/>
    </row>
    <row r="32" customFormat="false" ht="15" hidden="false" customHeight="false" outlineLevel="0" collapsed="false">
      <c r="A32" s="7"/>
      <c r="B32" s="8"/>
      <c r="C32" s="7"/>
      <c r="D32" s="7"/>
      <c r="E32" s="7"/>
      <c r="F32" s="7"/>
      <c r="G32" s="9"/>
      <c r="H32" s="9"/>
      <c r="I32" s="7"/>
      <c r="J32" s="10" t="str">
        <f aca="false">IF(I32="","",I32*'Start here'!$B$11)</f>
        <v/>
      </c>
      <c r="K32" s="10" t="str">
        <f aca="false">IF(G32="","",G32-N(H32)-N(J32))</f>
        <v/>
      </c>
      <c r="L32" s="9"/>
      <c r="M32" s="9"/>
      <c r="N32" s="10" t="str">
        <f aca="false">IF(G32="","",G32-N(L32)-N(M32))</f>
        <v/>
      </c>
      <c r="O32" s="8"/>
      <c r="P32" s="7"/>
    </row>
    <row r="33" customFormat="false" ht="15" hidden="false" customHeight="false" outlineLevel="0" collapsed="false">
      <c r="A33" s="7"/>
      <c r="B33" s="8"/>
      <c r="C33" s="7"/>
      <c r="D33" s="7"/>
      <c r="E33" s="7"/>
      <c r="F33" s="7"/>
      <c r="G33" s="9"/>
      <c r="H33" s="9"/>
      <c r="I33" s="7"/>
      <c r="J33" s="10" t="str">
        <f aca="false">IF(I33="","",I33*'Start here'!$B$11)</f>
        <v/>
      </c>
      <c r="K33" s="10" t="str">
        <f aca="false">IF(G33="","",G33-N(H33)-N(J33))</f>
        <v/>
      </c>
      <c r="L33" s="9"/>
      <c r="M33" s="9"/>
      <c r="N33" s="10" t="str">
        <f aca="false">IF(G33="","",G33-N(L33)-N(M33))</f>
        <v/>
      </c>
      <c r="O33" s="8"/>
      <c r="P33" s="7"/>
    </row>
    <row r="34" customFormat="false" ht="15" hidden="false" customHeight="false" outlineLevel="0" collapsed="false">
      <c r="A34" s="7"/>
      <c r="B34" s="8"/>
      <c r="C34" s="7"/>
      <c r="D34" s="7"/>
      <c r="E34" s="7"/>
      <c r="F34" s="7"/>
      <c r="G34" s="9"/>
      <c r="H34" s="9"/>
      <c r="I34" s="7"/>
      <c r="J34" s="10" t="str">
        <f aca="false">IF(I34="","",I34*'Start here'!$B$11)</f>
        <v/>
      </c>
      <c r="K34" s="10" t="str">
        <f aca="false">IF(G34="","",G34-N(H34)-N(J34))</f>
        <v/>
      </c>
      <c r="L34" s="9"/>
      <c r="M34" s="9"/>
      <c r="N34" s="10" t="str">
        <f aca="false">IF(G34="","",G34-N(L34)-N(M34))</f>
        <v/>
      </c>
      <c r="O34" s="8"/>
      <c r="P34" s="7"/>
    </row>
    <row r="35" customFormat="false" ht="15" hidden="false" customHeight="false" outlineLevel="0" collapsed="false">
      <c r="A35" s="7"/>
      <c r="B35" s="8"/>
      <c r="C35" s="7"/>
      <c r="D35" s="7"/>
      <c r="E35" s="7"/>
      <c r="F35" s="7"/>
      <c r="G35" s="9"/>
      <c r="H35" s="9"/>
      <c r="I35" s="7"/>
      <c r="J35" s="10" t="str">
        <f aca="false">IF(I35="","",I35*'Start here'!$B$11)</f>
        <v/>
      </c>
      <c r="K35" s="10" t="str">
        <f aca="false">IF(G35="","",G35-N(H35)-N(J35))</f>
        <v/>
      </c>
      <c r="L35" s="9"/>
      <c r="M35" s="9"/>
      <c r="N35" s="10" t="str">
        <f aca="false">IF(G35="","",G35-N(L35)-N(M35))</f>
        <v/>
      </c>
      <c r="O35" s="8"/>
      <c r="P35" s="7"/>
    </row>
    <row r="36" customFormat="false" ht="15" hidden="false" customHeight="false" outlineLevel="0" collapsed="false">
      <c r="A36" s="7"/>
      <c r="B36" s="8"/>
      <c r="C36" s="7"/>
      <c r="D36" s="7"/>
      <c r="E36" s="7"/>
      <c r="F36" s="7"/>
      <c r="G36" s="9"/>
      <c r="H36" s="9"/>
      <c r="I36" s="7"/>
      <c r="J36" s="10" t="str">
        <f aca="false">IF(I36="","",I36*'Start here'!$B$11)</f>
        <v/>
      </c>
      <c r="K36" s="10" t="str">
        <f aca="false">IF(G36="","",G36-N(H36)-N(J36))</f>
        <v/>
      </c>
      <c r="L36" s="9"/>
      <c r="M36" s="9"/>
      <c r="N36" s="10" t="str">
        <f aca="false">IF(G36="","",G36-N(L36)-N(M36))</f>
        <v/>
      </c>
      <c r="O36" s="8"/>
      <c r="P36" s="7"/>
    </row>
    <row r="37" customFormat="false" ht="15" hidden="false" customHeight="false" outlineLevel="0" collapsed="false">
      <c r="A37" s="7"/>
      <c r="B37" s="8"/>
      <c r="C37" s="7"/>
      <c r="D37" s="7"/>
      <c r="E37" s="7"/>
      <c r="F37" s="7"/>
      <c r="G37" s="9"/>
      <c r="H37" s="9"/>
      <c r="I37" s="7"/>
      <c r="J37" s="10" t="str">
        <f aca="false">IF(I37="","",I37*'Start here'!$B$11)</f>
        <v/>
      </c>
      <c r="K37" s="10" t="str">
        <f aca="false">IF(G37="","",G37-N(H37)-N(J37))</f>
        <v/>
      </c>
      <c r="L37" s="9"/>
      <c r="M37" s="9"/>
      <c r="N37" s="10" t="str">
        <f aca="false">IF(G37="","",G37-N(L37)-N(M37))</f>
        <v/>
      </c>
      <c r="O37" s="8"/>
      <c r="P37" s="7"/>
    </row>
    <row r="38" customFormat="false" ht="15" hidden="false" customHeight="false" outlineLevel="0" collapsed="false">
      <c r="A38" s="7"/>
      <c r="B38" s="8"/>
      <c r="C38" s="7"/>
      <c r="D38" s="7"/>
      <c r="E38" s="7"/>
      <c r="F38" s="7"/>
      <c r="G38" s="9"/>
      <c r="H38" s="9"/>
      <c r="I38" s="7"/>
      <c r="J38" s="10" t="str">
        <f aca="false">IF(I38="","",I38*'Start here'!$B$11)</f>
        <v/>
      </c>
      <c r="K38" s="10" t="str">
        <f aca="false">IF(G38="","",G38-N(H38)-N(J38))</f>
        <v/>
      </c>
      <c r="L38" s="9"/>
      <c r="M38" s="9"/>
      <c r="N38" s="10" t="str">
        <f aca="false">IF(G38="","",G38-N(L38)-N(M38))</f>
        <v/>
      </c>
      <c r="O38" s="8"/>
      <c r="P38" s="7"/>
    </row>
    <row r="39" customFormat="false" ht="15" hidden="false" customHeight="false" outlineLevel="0" collapsed="false">
      <c r="A39" s="7"/>
      <c r="B39" s="8"/>
      <c r="C39" s="7"/>
      <c r="D39" s="7"/>
      <c r="E39" s="7"/>
      <c r="F39" s="7"/>
      <c r="G39" s="9"/>
      <c r="H39" s="9"/>
      <c r="I39" s="7"/>
      <c r="J39" s="10" t="str">
        <f aca="false">IF(I39="","",I39*'Start here'!$B$11)</f>
        <v/>
      </c>
      <c r="K39" s="10" t="str">
        <f aca="false">IF(G39="","",G39-N(H39)-N(J39))</f>
        <v/>
      </c>
      <c r="L39" s="9"/>
      <c r="M39" s="9"/>
      <c r="N39" s="10" t="str">
        <f aca="false">IF(G39="","",G39-N(L39)-N(M39))</f>
        <v/>
      </c>
      <c r="O39" s="8"/>
      <c r="P39" s="7"/>
    </row>
    <row r="40" customFormat="false" ht="15" hidden="false" customHeight="false" outlineLevel="0" collapsed="false">
      <c r="A40" s="7"/>
      <c r="B40" s="8"/>
      <c r="C40" s="7"/>
      <c r="D40" s="7"/>
      <c r="E40" s="7"/>
      <c r="F40" s="7"/>
      <c r="G40" s="9"/>
      <c r="H40" s="9"/>
      <c r="I40" s="7"/>
      <c r="J40" s="10" t="str">
        <f aca="false">IF(I40="","",I40*'Start here'!$B$11)</f>
        <v/>
      </c>
      <c r="K40" s="10" t="str">
        <f aca="false">IF(G40="","",G40-N(H40)-N(J40))</f>
        <v/>
      </c>
      <c r="L40" s="9"/>
      <c r="M40" s="9"/>
      <c r="N40" s="10" t="str">
        <f aca="false">IF(G40="","",G40-N(L40)-N(M40))</f>
        <v/>
      </c>
      <c r="O40" s="8"/>
      <c r="P40" s="7"/>
    </row>
    <row r="41" customFormat="false" ht="15" hidden="false" customHeight="false" outlineLevel="0" collapsed="false">
      <c r="A41" s="7"/>
      <c r="B41" s="8"/>
      <c r="C41" s="7"/>
      <c r="D41" s="7"/>
      <c r="E41" s="7"/>
      <c r="F41" s="7"/>
      <c r="G41" s="9"/>
      <c r="H41" s="9"/>
      <c r="I41" s="7"/>
      <c r="J41" s="10" t="str">
        <f aca="false">IF(I41="","",I41*'Start here'!$B$11)</f>
        <v/>
      </c>
      <c r="K41" s="10" t="str">
        <f aca="false">IF(G41="","",G41-N(H41)-N(J41))</f>
        <v/>
      </c>
      <c r="L41" s="9"/>
      <c r="M41" s="9"/>
      <c r="N41" s="10" t="str">
        <f aca="false">IF(G41="","",G41-N(L41)-N(M41))</f>
        <v/>
      </c>
      <c r="O41" s="8"/>
      <c r="P41" s="7"/>
    </row>
    <row r="42" customFormat="false" ht="15" hidden="false" customHeight="false" outlineLevel="0" collapsed="false">
      <c r="A42" s="7"/>
      <c r="B42" s="8"/>
      <c r="C42" s="7"/>
      <c r="D42" s="7"/>
      <c r="E42" s="7"/>
      <c r="F42" s="7"/>
      <c r="G42" s="9"/>
      <c r="H42" s="9"/>
      <c r="I42" s="7"/>
      <c r="J42" s="10" t="str">
        <f aca="false">IF(I42="","",I42*'Start here'!$B$11)</f>
        <v/>
      </c>
      <c r="K42" s="10" t="str">
        <f aca="false">IF(G42="","",G42-N(H42)-N(J42))</f>
        <v/>
      </c>
      <c r="L42" s="9"/>
      <c r="M42" s="9"/>
      <c r="N42" s="10" t="str">
        <f aca="false">IF(G42="","",G42-N(L42)-N(M42))</f>
        <v/>
      </c>
      <c r="O42" s="8"/>
      <c r="P42" s="7"/>
    </row>
    <row r="43" customFormat="false" ht="15" hidden="false" customHeight="false" outlineLevel="0" collapsed="false">
      <c r="A43" s="7"/>
      <c r="B43" s="8"/>
      <c r="C43" s="7"/>
      <c r="D43" s="7"/>
      <c r="E43" s="7"/>
      <c r="F43" s="7"/>
      <c r="G43" s="9"/>
      <c r="H43" s="9"/>
      <c r="I43" s="7"/>
      <c r="J43" s="10" t="str">
        <f aca="false">IF(I43="","",I43*'Start here'!$B$11)</f>
        <v/>
      </c>
      <c r="K43" s="10" t="str">
        <f aca="false">IF(G43="","",G43-N(H43)-N(J43))</f>
        <v/>
      </c>
      <c r="L43" s="9"/>
      <c r="M43" s="9"/>
      <c r="N43" s="10" t="str">
        <f aca="false">IF(G43="","",G43-N(L43)-N(M43))</f>
        <v/>
      </c>
      <c r="O43" s="8"/>
      <c r="P43" s="7"/>
    </row>
    <row r="44" customFormat="false" ht="15" hidden="false" customHeight="false" outlineLevel="0" collapsed="false">
      <c r="A44" s="7"/>
      <c r="B44" s="8"/>
      <c r="C44" s="7"/>
      <c r="D44" s="7"/>
      <c r="E44" s="7"/>
      <c r="F44" s="7"/>
      <c r="G44" s="9"/>
      <c r="H44" s="9"/>
      <c r="I44" s="7"/>
      <c r="J44" s="10" t="str">
        <f aca="false">IF(I44="","",I44*'Start here'!$B$11)</f>
        <v/>
      </c>
      <c r="K44" s="10" t="str">
        <f aca="false">IF(G44="","",G44-N(H44)-N(J44))</f>
        <v/>
      </c>
      <c r="L44" s="9"/>
      <c r="M44" s="9"/>
      <c r="N44" s="10" t="str">
        <f aca="false">IF(G44="","",G44-N(L44)-N(M44))</f>
        <v/>
      </c>
      <c r="O44" s="8"/>
      <c r="P44" s="7"/>
    </row>
    <row r="45" customFormat="false" ht="15" hidden="false" customHeight="false" outlineLevel="0" collapsed="false">
      <c r="A45" s="7"/>
      <c r="B45" s="8"/>
      <c r="C45" s="7"/>
      <c r="D45" s="7"/>
      <c r="E45" s="7"/>
      <c r="F45" s="7"/>
      <c r="G45" s="9"/>
      <c r="H45" s="9"/>
      <c r="I45" s="7"/>
      <c r="J45" s="10" t="str">
        <f aca="false">IF(I45="","",I45*'Start here'!$B$11)</f>
        <v/>
      </c>
      <c r="K45" s="10" t="str">
        <f aca="false">IF(G45="","",G45-N(H45)-N(J45))</f>
        <v/>
      </c>
      <c r="L45" s="9"/>
      <c r="M45" s="9"/>
      <c r="N45" s="10" t="str">
        <f aca="false">IF(G45="","",G45-N(L45)-N(M45))</f>
        <v/>
      </c>
      <c r="O45" s="8"/>
      <c r="P45" s="7"/>
    </row>
    <row r="46" customFormat="false" ht="15" hidden="false" customHeight="false" outlineLevel="0" collapsed="false">
      <c r="A46" s="7"/>
      <c r="B46" s="8"/>
      <c r="C46" s="7"/>
      <c r="D46" s="7"/>
      <c r="E46" s="7"/>
      <c r="F46" s="7"/>
      <c r="G46" s="9"/>
      <c r="H46" s="9"/>
      <c r="I46" s="7"/>
      <c r="J46" s="10" t="str">
        <f aca="false">IF(I46="","",I46*'Start here'!$B$11)</f>
        <v/>
      </c>
      <c r="K46" s="10" t="str">
        <f aca="false">IF(G46="","",G46-N(H46)-N(J46))</f>
        <v/>
      </c>
      <c r="L46" s="9"/>
      <c r="M46" s="9"/>
      <c r="N46" s="10" t="str">
        <f aca="false">IF(G46="","",G46-N(L46)-N(M46))</f>
        <v/>
      </c>
      <c r="O46" s="8"/>
      <c r="P46" s="7"/>
    </row>
    <row r="47" customFormat="false" ht="15" hidden="false" customHeight="false" outlineLevel="0" collapsed="false">
      <c r="A47" s="7"/>
      <c r="B47" s="8"/>
      <c r="C47" s="7"/>
      <c r="D47" s="7"/>
      <c r="E47" s="7"/>
      <c r="F47" s="7"/>
      <c r="G47" s="9"/>
      <c r="H47" s="9"/>
      <c r="I47" s="7"/>
      <c r="J47" s="10" t="str">
        <f aca="false">IF(I47="","",I47*'Start here'!$B$11)</f>
        <v/>
      </c>
      <c r="K47" s="10" t="str">
        <f aca="false">IF(G47="","",G47-N(H47)-N(J47))</f>
        <v/>
      </c>
      <c r="L47" s="9"/>
      <c r="M47" s="9"/>
      <c r="N47" s="10" t="str">
        <f aca="false">IF(G47="","",G47-N(L47)-N(M47))</f>
        <v/>
      </c>
      <c r="O47" s="8"/>
      <c r="P47" s="7"/>
    </row>
    <row r="48" customFormat="false" ht="15" hidden="false" customHeight="false" outlineLevel="0" collapsed="false">
      <c r="A48" s="7"/>
      <c r="B48" s="8"/>
      <c r="C48" s="7"/>
      <c r="D48" s="7"/>
      <c r="E48" s="7"/>
      <c r="F48" s="7"/>
      <c r="G48" s="9"/>
      <c r="H48" s="9"/>
      <c r="I48" s="7"/>
      <c r="J48" s="10" t="str">
        <f aca="false">IF(I48="","",I48*'Start here'!$B$11)</f>
        <v/>
      </c>
      <c r="K48" s="10" t="str">
        <f aca="false">IF(G48="","",G48-N(H48)-N(J48))</f>
        <v/>
      </c>
      <c r="L48" s="9"/>
      <c r="M48" s="9"/>
      <c r="N48" s="10" t="str">
        <f aca="false">IF(G48="","",G48-N(L48)-N(M48))</f>
        <v/>
      </c>
      <c r="O48" s="8"/>
      <c r="P48" s="7"/>
    </row>
    <row r="49" customFormat="false" ht="15" hidden="false" customHeight="false" outlineLevel="0" collapsed="false">
      <c r="A49" s="7"/>
      <c r="B49" s="8"/>
      <c r="C49" s="7"/>
      <c r="D49" s="7"/>
      <c r="E49" s="7"/>
      <c r="F49" s="7"/>
      <c r="G49" s="9"/>
      <c r="H49" s="9"/>
      <c r="I49" s="7"/>
      <c r="J49" s="10" t="str">
        <f aca="false">IF(I49="","",I49*'Start here'!$B$11)</f>
        <v/>
      </c>
      <c r="K49" s="10" t="str">
        <f aca="false">IF(G49="","",G49-N(H49)-N(J49))</f>
        <v/>
      </c>
      <c r="L49" s="9"/>
      <c r="M49" s="9"/>
      <c r="N49" s="10" t="str">
        <f aca="false">IF(G49="","",G49-N(L49)-N(M49))</f>
        <v/>
      </c>
      <c r="O49" s="8"/>
      <c r="P49" s="7"/>
    </row>
    <row r="50" customFormat="false" ht="15" hidden="false" customHeight="false" outlineLevel="0" collapsed="false">
      <c r="A50" s="7"/>
      <c r="B50" s="8"/>
      <c r="C50" s="7"/>
      <c r="D50" s="7"/>
      <c r="E50" s="7"/>
      <c r="F50" s="7"/>
      <c r="G50" s="9"/>
      <c r="H50" s="9"/>
      <c r="I50" s="7"/>
      <c r="J50" s="10" t="str">
        <f aca="false">IF(I50="","",I50*'Start here'!$B$11)</f>
        <v/>
      </c>
      <c r="K50" s="10" t="str">
        <f aca="false">IF(G50="","",G50-N(H50)-N(J50))</f>
        <v/>
      </c>
      <c r="L50" s="9"/>
      <c r="M50" s="9"/>
      <c r="N50" s="10" t="str">
        <f aca="false">IF(G50="","",G50-N(L50)-N(M50))</f>
        <v/>
      </c>
      <c r="O50" s="8"/>
      <c r="P50" s="7"/>
    </row>
    <row r="51" customFormat="false" ht="15" hidden="false" customHeight="false" outlineLevel="0" collapsed="false">
      <c r="A51" s="7"/>
      <c r="B51" s="8"/>
      <c r="C51" s="7"/>
      <c r="D51" s="7"/>
      <c r="E51" s="7"/>
      <c r="F51" s="7"/>
      <c r="G51" s="9"/>
      <c r="H51" s="9"/>
      <c r="I51" s="7"/>
      <c r="J51" s="10" t="str">
        <f aca="false">IF(I51="","",I51*'Start here'!$B$11)</f>
        <v/>
      </c>
      <c r="K51" s="10" t="str">
        <f aca="false">IF(G51="","",G51-N(H51)-N(J51))</f>
        <v/>
      </c>
      <c r="L51" s="9"/>
      <c r="M51" s="9"/>
      <c r="N51" s="10" t="str">
        <f aca="false">IF(G51="","",G51-N(L51)-N(M51))</f>
        <v/>
      </c>
      <c r="O51" s="8"/>
      <c r="P51" s="7"/>
    </row>
    <row r="52" customFormat="false" ht="15" hidden="false" customHeight="false" outlineLevel="0" collapsed="false">
      <c r="A52" s="7"/>
      <c r="B52" s="8"/>
      <c r="C52" s="7"/>
      <c r="D52" s="7"/>
      <c r="E52" s="7"/>
      <c r="F52" s="7"/>
      <c r="G52" s="9"/>
      <c r="H52" s="9"/>
      <c r="I52" s="7"/>
      <c r="J52" s="10" t="str">
        <f aca="false">IF(I52="","",I52*'Start here'!$B$11)</f>
        <v/>
      </c>
      <c r="K52" s="10" t="str">
        <f aca="false">IF(G52="","",G52-N(H52)-N(J52))</f>
        <v/>
      </c>
      <c r="L52" s="9"/>
      <c r="M52" s="9"/>
      <c r="N52" s="10" t="str">
        <f aca="false">IF(G52="","",G52-N(L52)-N(M52))</f>
        <v/>
      </c>
      <c r="O52" s="8"/>
      <c r="P52" s="7"/>
    </row>
    <row r="53" customFormat="false" ht="15" hidden="false" customHeight="false" outlineLevel="0" collapsed="false">
      <c r="A53" s="7"/>
      <c r="B53" s="8"/>
      <c r="C53" s="7"/>
      <c r="D53" s="7"/>
      <c r="E53" s="7"/>
      <c r="F53" s="7"/>
      <c r="G53" s="9"/>
      <c r="H53" s="9"/>
      <c r="I53" s="7"/>
      <c r="J53" s="10" t="str">
        <f aca="false">IF(I53="","",I53*'Start here'!$B$11)</f>
        <v/>
      </c>
      <c r="K53" s="10" t="str">
        <f aca="false">IF(G53="","",G53-N(H53)-N(J53))</f>
        <v/>
      </c>
      <c r="L53" s="9"/>
      <c r="M53" s="9"/>
      <c r="N53" s="10" t="str">
        <f aca="false">IF(G53="","",G53-N(L53)-N(M53))</f>
        <v/>
      </c>
      <c r="O53" s="8"/>
      <c r="P53" s="7"/>
    </row>
    <row r="54" customFormat="false" ht="15" hidden="false" customHeight="false" outlineLevel="0" collapsed="false">
      <c r="A54" s="7"/>
      <c r="B54" s="8"/>
      <c r="C54" s="7"/>
      <c r="D54" s="7"/>
      <c r="E54" s="7"/>
      <c r="F54" s="7"/>
      <c r="G54" s="9"/>
      <c r="H54" s="9"/>
      <c r="I54" s="7"/>
      <c r="J54" s="10" t="str">
        <f aca="false">IF(I54="","",I54*'Start here'!$B$11)</f>
        <v/>
      </c>
      <c r="K54" s="10" t="str">
        <f aca="false">IF(G54="","",G54-N(H54)-N(J54))</f>
        <v/>
      </c>
      <c r="L54" s="9"/>
      <c r="M54" s="9"/>
      <c r="N54" s="10" t="str">
        <f aca="false">IF(G54="","",G54-N(L54)-N(M54))</f>
        <v/>
      </c>
      <c r="O54" s="8"/>
      <c r="P54" s="7"/>
    </row>
    <row r="55" customFormat="false" ht="15" hidden="false" customHeight="false" outlineLevel="0" collapsed="false">
      <c r="A55" s="7"/>
      <c r="B55" s="8"/>
      <c r="C55" s="7"/>
      <c r="D55" s="7"/>
      <c r="E55" s="7"/>
      <c r="F55" s="7"/>
      <c r="G55" s="9"/>
      <c r="H55" s="9"/>
      <c r="I55" s="7"/>
      <c r="J55" s="10" t="str">
        <f aca="false">IF(I55="","",I55*'Start here'!$B$11)</f>
        <v/>
      </c>
      <c r="K55" s="10" t="str">
        <f aca="false">IF(G55="","",G55-N(H55)-N(J55))</f>
        <v/>
      </c>
      <c r="L55" s="9"/>
      <c r="M55" s="9"/>
      <c r="N55" s="10" t="str">
        <f aca="false">IF(G55="","",G55-N(L55)-N(M55))</f>
        <v/>
      </c>
      <c r="O55" s="8"/>
      <c r="P55" s="7"/>
    </row>
    <row r="56" customFormat="false" ht="15" hidden="false" customHeight="false" outlineLevel="0" collapsed="false">
      <c r="A56" s="7"/>
      <c r="B56" s="8"/>
      <c r="C56" s="7"/>
      <c r="D56" s="7"/>
      <c r="E56" s="7"/>
      <c r="F56" s="7"/>
      <c r="G56" s="9"/>
      <c r="H56" s="9"/>
      <c r="I56" s="7"/>
      <c r="J56" s="10" t="str">
        <f aca="false">IF(I56="","",I56*'Start here'!$B$11)</f>
        <v/>
      </c>
      <c r="K56" s="10" t="str">
        <f aca="false">IF(G56="","",G56-N(H56)-N(J56))</f>
        <v/>
      </c>
      <c r="L56" s="9"/>
      <c r="M56" s="9"/>
      <c r="N56" s="10" t="str">
        <f aca="false">IF(G56="","",G56-N(L56)-N(M56))</f>
        <v/>
      </c>
      <c r="O56" s="8"/>
      <c r="P56" s="7"/>
    </row>
    <row r="57" customFormat="false" ht="15" hidden="false" customHeight="false" outlineLevel="0" collapsed="false">
      <c r="A57" s="7"/>
      <c r="B57" s="8"/>
      <c r="C57" s="7"/>
      <c r="D57" s="7"/>
      <c r="E57" s="7"/>
      <c r="F57" s="7"/>
      <c r="G57" s="9"/>
      <c r="H57" s="9"/>
      <c r="I57" s="7"/>
      <c r="J57" s="10" t="str">
        <f aca="false">IF(I57="","",I57*'Start here'!$B$11)</f>
        <v/>
      </c>
      <c r="K57" s="10" t="str">
        <f aca="false">IF(G57="","",G57-N(H57)-N(J57))</f>
        <v/>
      </c>
      <c r="L57" s="9"/>
      <c r="M57" s="9"/>
      <c r="N57" s="10" t="str">
        <f aca="false">IF(G57="","",G57-N(L57)-N(M57))</f>
        <v/>
      </c>
      <c r="O57" s="8"/>
      <c r="P57" s="7"/>
    </row>
    <row r="58" customFormat="false" ht="15" hidden="false" customHeight="false" outlineLevel="0" collapsed="false">
      <c r="A58" s="7"/>
      <c r="B58" s="8"/>
      <c r="C58" s="7"/>
      <c r="D58" s="7"/>
      <c r="E58" s="7"/>
      <c r="F58" s="7"/>
      <c r="G58" s="9"/>
      <c r="H58" s="9"/>
      <c r="I58" s="7"/>
      <c r="J58" s="10" t="str">
        <f aca="false">IF(I58="","",I58*'Start here'!$B$11)</f>
        <v/>
      </c>
      <c r="K58" s="10" t="str">
        <f aca="false">IF(G58="","",G58-N(H58)-N(J58))</f>
        <v/>
      </c>
      <c r="L58" s="9"/>
      <c r="M58" s="9"/>
      <c r="N58" s="10" t="str">
        <f aca="false">IF(G58="","",G58-N(L58)-N(M58))</f>
        <v/>
      </c>
      <c r="O58" s="8"/>
      <c r="P58" s="7"/>
    </row>
    <row r="59" customFormat="false" ht="15" hidden="false" customHeight="false" outlineLevel="0" collapsed="false">
      <c r="A59" s="7"/>
      <c r="B59" s="8"/>
      <c r="C59" s="7"/>
      <c r="D59" s="7"/>
      <c r="E59" s="7"/>
      <c r="F59" s="7"/>
      <c r="G59" s="9"/>
      <c r="H59" s="9"/>
      <c r="I59" s="7"/>
      <c r="J59" s="10" t="str">
        <f aca="false">IF(I59="","",I59*'Start here'!$B$11)</f>
        <v/>
      </c>
      <c r="K59" s="10" t="str">
        <f aca="false">IF(G59="","",G59-N(H59)-N(J59))</f>
        <v/>
      </c>
      <c r="L59" s="9"/>
      <c r="M59" s="9"/>
      <c r="N59" s="10" t="str">
        <f aca="false">IF(G59="","",G59-N(L59)-N(M59))</f>
        <v/>
      </c>
      <c r="O59" s="8"/>
      <c r="P59" s="7"/>
    </row>
    <row r="60" customFormat="false" ht="15" hidden="false" customHeight="false" outlineLevel="0" collapsed="false">
      <c r="A60" s="7"/>
      <c r="B60" s="8"/>
      <c r="C60" s="7"/>
      <c r="D60" s="7"/>
      <c r="E60" s="7"/>
      <c r="F60" s="7"/>
      <c r="G60" s="9"/>
      <c r="H60" s="9"/>
      <c r="I60" s="7"/>
      <c r="J60" s="10" t="str">
        <f aca="false">IF(I60="","",I60*'Start here'!$B$11)</f>
        <v/>
      </c>
      <c r="K60" s="10" t="str">
        <f aca="false">IF(G60="","",G60-N(H60)-N(J60))</f>
        <v/>
      </c>
      <c r="L60" s="9"/>
      <c r="M60" s="9"/>
      <c r="N60" s="10" t="str">
        <f aca="false">IF(G60="","",G60-N(L60)-N(M60))</f>
        <v/>
      </c>
      <c r="O60" s="8"/>
      <c r="P60" s="7"/>
    </row>
    <row r="61" customFormat="false" ht="15" hidden="false" customHeight="false" outlineLevel="0" collapsed="false">
      <c r="A61" s="7"/>
      <c r="B61" s="8"/>
      <c r="C61" s="7"/>
      <c r="D61" s="7"/>
      <c r="E61" s="7"/>
      <c r="F61" s="7"/>
      <c r="G61" s="9"/>
      <c r="H61" s="9"/>
      <c r="I61" s="7"/>
      <c r="J61" s="10" t="str">
        <f aca="false">IF(I61="","",I61*'Start here'!$B$11)</f>
        <v/>
      </c>
      <c r="K61" s="10" t="str">
        <f aca="false">IF(G61="","",G61-N(H61)-N(J61))</f>
        <v/>
      </c>
      <c r="L61" s="9"/>
      <c r="M61" s="9"/>
      <c r="N61" s="10" t="str">
        <f aca="false">IF(G61="","",G61-N(L61)-N(M61))</f>
        <v/>
      </c>
      <c r="O61" s="8"/>
      <c r="P61" s="7"/>
    </row>
    <row r="62" customFormat="false" ht="15" hidden="false" customHeight="false" outlineLevel="0" collapsed="false">
      <c r="A62" s="7"/>
      <c r="B62" s="8"/>
      <c r="C62" s="7"/>
      <c r="D62" s="7"/>
      <c r="E62" s="7"/>
      <c r="F62" s="7"/>
      <c r="G62" s="9"/>
      <c r="H62" s="9"/>
      <c r="I62" s="7"/>
      <c r="J62" s="10" t="str">
        <f aca="false">IF(I62="","",I62*'Start here'!$B$11)</f>
        <v/>
      </c>
      <c r="K62" s="10" t="str">
        <f aca="false">IF(G62="","",G62-N(H62)-N(J62))</f>
        <v/>
      </c>
      <c r="L62" s="9"/>
      <c r="M62" s="9"/>
      <c r="N62" s="10" t="str">
        <f aca="false">IF(G62="","",G62-N(L62)-N(M62))</f>
        <v/>
      </c>
      <c r="O62" s="8"/>
      <c r="P62" s="7"/>
    </row>
    <row r="63" customFormat="false" ht="15" hidden="false" customHeight="false" outlineLevel="0" collapsed="false">
      <c r="A63" s="7"/>
      <c r="B63" s="8"/>
      <c r="C63" s="7"/>
      <c r="D63" s="7"/>
      <c r="E63" s="7"/>
      <c r="F63" s="7"/>
      <c r="G63" s="9"/>
      <c r="H63" s="9"/>
      <c r="I63" s="7"/>
      <c r="J63" s="10" t="str">
        <f aca="false">IF(I63="","",I63*'Start here'!$B$11)</f>
        <v/>
      </c>
      <c r="K63" s="10" t="str">
        <f aca="false">IF(G63="","",G63-N(H63)-N(J63))</f>
        <v/>
      </c>
      <c r="L63" s="9"/>
      <c r="M63" s="9"/>
      <c r="N63" s="10" t="str">
        <f aca="false">IF(G63="","",G63-N(L63)-N(M63))</f>
        <v/>
      </c>
      <c r="O63" s="8"/>
      <c r="P63" s="7"/>
    </row>
    <row r="64" customFormat="false" ht="15" hidden="false" customHeight="false" outlineLevel="0" collapsed="false">
      <c r="A64" s="7"/>
      <c r="B64" s="8"/>
      <c r="C64" s="7"/>
      <c r="D64" s="7"/>
      <c r="E64" s="7"/>
      <c r="F64" s="7"/>
      <c r="G64" s="9"/>
      <c r="H64" s="9"/>
      <c r="I64" s="7"/>
      <c r="J64" s="10" t="str">
        <f aca="false">IF(I64="","",I64*'Start here'!$B$11)</f>
        <v/>
      </c>
      <c r="K64" s="10" t="str">
        <f aca="false">IF(G64="","",G64-N(H64)-N(J64))</f>
        <v/>
      </c>
      <c r="L64" s="9"/>
      <c r="M64" s="9"/>
      <c r="N64" s="10" t="str">
        <f aca="false">IF(G64="","",G64-N(L64)-N(M64))</f>
        <v/>
      </c>
      <c r="O64" s="8"/>
      <c r="P64" s="7"/>
    </row>
    <row r="65" customFormat="false" ht="15" hidden="false" customHeight="false" outlineLevel="0" collapsed="false">
      <c r="A65" s="7"/>
      <c r="B65" s="8"/>
      <c r="C65" s="7"/>
      <c r="D65" s="7"/>
      <c r="E65" s="7"/>
      <c r="F65" s="7"/>
      <c r="G65" s="9"/>
      <c r="H65" s="9"/>
      <c r="I65" s="7"/>
      <c r="J65" s="10" t="str">
        <f aca="false">IF(I65="","",I65*'Start here'!$B$11)</f>
        <v/>
      </c>
      <c r="K65" s="10" t="str">
        <f aca="false">IF(G65="","",G65-N(H65)-N(J65))</f>
        <v/>
      </c>
      <c r="L65" s="9"/>
      <c r="M65" s="9"/>
      <c r="N65" s="10" t="str">
        <f aca="false">IF(G65="","",G65-N(L65)-N(M65))</f>
        <v/>
      </c>
      <c r="O65" s="8"/>
      <c r="P65" s="7"/>
    </row>
    <row r="66" customFormat="false" ht="15" hidden="false" customHeight="false" outlineLevel="0" collapsed="false">
      <c r="A66" s="7"/>
      <c r="B66" s="8"/>
      <c r="C66" s="7"/>
      <c r="D66" s="7"/>
      <c r="E66" s="7"/>
      <c r="F66" s="7"/>
      <c r="G66" s="9"/>
      <c r="H66" s="9"/>
      <c r="I66" s="7"/>
      <c r="J66" s="10" t="str">
        <f aca="false">IF(I66="","",I66*'Start here'!$B$11)</f>
        <v/>
      </c>
      <c r="K66" s="10" t="str">
        <f aca="false">IF(G66="","",G66-N(H66)-N(J66))</f>
        <v/>
      </c>
      <c r="L66" s="9"/>
      <c r="M66" s="9"/>
      <c r="N66" s="10" t="str">
        <f aca="false">IF(G66="","",G66-N(L66)-N(M66))</f>
        <v/>
      </c>
      <c r="O66" s="8"/>
      <c r="P66" s="7"/>
    </row>
    <row r="67" customFormat="false" ht="15" hidden="false" customHeight="false" outlineLevel="0" collapsed="false">
      <c r="A67" s="7"/>
      <c r="B67" s="8"/>
      <c r="C67" s="7"/>
      <c r="D67" s="7"/>
      <c r="E67" s="7"/>
      <c r="F67" s="7"/>
      <c r="G67" s="9"/>
      <c r="H67" s="9"/>
      <c r="I67" s="7"/>
      <c r="J67" s="10" t="str">
        <f aca="false">IF(I67="","",I67*'Start here'!$B$11)</f>
        <v/>
      </c>
      <c r="K67" s="10" t="str">
        <f aca="false">IF(G67="","",G67-N(H67)-N(J67))</f>
        <v/>
      </c>
      <c r="L67" s="9"/>
      <c r="M67" s="9"/>
      <c r="N67" s="10" t="str">
        <f aca="false">IF(G67="","",G67-N(L67)-N(M67))</f>
        <v/>
      </c>
      <c r="O67" s="8"/>
      <c r="P67" s="7"/>
    </row>
    <row r="68" customFormat="false" ht="15" hidden="false" customHeight="false" outlineLevel="0" collapsed="false">
      <c r="A68" s="7"/>
      <c r="B68" s="8"/>
      <c r="C68" s="7"/>
      <c r="D68" s="7"/>
      <c r="E68" s="7"/>
      <c r="F68" s="7"/>
      <c r="G68" s="9"/>
      <c r="H68" s="9"/>
      <c r="I68" s="7"/>
      <c r="J68" s="10" t="str">
        <f aca="false">IF(I68="","",I68*'Start here'!$B$11)</f>
        <v/>
      </c>
      <c r="K68" s="10" t="str">
        <f aca="false">IF(G68="","",G68-N(H68)-N(J68))</f>
        <v/>
      </c>
      <c r="L68" s="9"/>
      <c r="M68" s="9"/>
      <c r="N68" s="10" t="str">
        <f aca="false">IF(G68="","",G68-N(L68)-N(M68))</f>
        <v/>
      </c>
      <c r="O68" s="8"/>
      <c r="P68" s="7"/>
    </row>
    <row r="69" customFormat="false" ht="15" hidden="false" customHeight="false" outlineLevel="0" collapsed="false">
      <c r="A69" s="7"/>
      <c r="B69" s="8"/>
      <c r="C69" s="7"/>
      <c r="D69" s="7"/>
      <c r="E69" s="7"/>
      <c r="F69" s="7"/>
      <c r="G69" s="9"/>
      <c r="H69" s="9"/>
      <c r="I69" s="7"/>
      <c r="J69" s="10" t="str">
        <f aca="false">IF(I69="","",I69*'Start here'!$B$11)</f>
        <v/>
      </c>
      <c r="K69" s="10" t="str">
        <f aca="false">IF(G69="","",G69-N(H69)-N(J69))</f>
        <v/>
      </c>
      <c r="L69" s="9"/>
      <c r="M69" s="9"/>
      <c r="N69" s="10" t="str">
        <f aca="false">IF(G69="","",G69-N(L69)-N(M69))</f>
        <v/>
      </c>
      <c r="O69" s="8"/>
      <c r="P69" s="7"/>
    </row>
    <row r="70" customFormat="false" ht="15" hidden="false" customHeight="false" outlineLevel="0" collapsed="false">
      <c r="A70" s="7"/>
      <c r="B70" s="8"/>
      <c r="C70" s="7"/>
      <c r="D70" s="7"/>
      <c r="E70" s="7"/>
      <c r="F70" s="7"/>
      <c r="G70" s="9"/>
      <c r="H70" s="9"/>
      <c r="I70" s="7"/>
      <c r="J70" s="10" t="str">
        <f aca="false">IF(I70="","",I70*'Start here'!$B$11)</f>
        <v/>
      </c>
      <c r="K70" s="10" t="str">
        <f aca="false">IF(G70="","",G70-N(H70)-N(J70))</f>
        <v/>
      </c>
      <c r="L70" s="9"/>
      <c r="M70" s="9"/>
      <c r="N70" s="10" t="str">
        <f aca="false">IF(G70="","",G70-N(L70)-N(M70))</f>
        <v/>
      </c>
      <c r="O70" s="8"/>
      <c r="P70" s="7"/>
    </row>
    <row r="71" customFormat="false" ht="15" hidden="false" customHeight="false" outlineLevel="0" collapsed="false">
      <c r="A71" s="7"/>
      <c r="B71" s="8"/>
      <c r="C71" s="7"/>
      <c r="D71" s="7"/>
      <c r="E71" s="7"/>
      <c r="F71" s="7"/>
      <c r="G71" s="9"/>
      <c r="H71" s="9"/>
      <c r="I71" s="7"/>
      <c r="J71" s="10" t="str">
        <f aca="false">IF(I71="","",I71*'Start here'!$B$11)</f>
        <v/>
      </c>
      <c r="K71" s="10" t="str">
        <f aca="false">IF(G71="","",G71-N(H71)-N(J71))</f>
        <v/>
      </c>
      <c r="L71" s="9"/>
      <c r="M71" s="9"/>
      <c r="N71" s="10" t="str">
        <f aca="false">IF(G71="","",G71-N(L71)-N(M71))</f>
        <v/>
      </c>
      <c r="O71" s="8"/>
      <c r="P71" s="7"/>
    </row>
    <row r="72" customFormat="false" ht="15" hidden="false" customHeight="false" outlineLevel="0" collapsed="false">
      <c r="A72" s="7"/>
      <c r="B72" s="8"/>
      <c r="C72" s="7"/>
      <c r="D72" s="7"/>
      <c r="E72" s="7"/>
      <c r="F72" s="7"/>
      <c r="G72" s="9"/>
      <c r="H72" s="9"/>
      <c r="I72" s="7"/>
      <c r="J72" s="10" t="str">
        <f aca="false">IF(I72="","",I72*'Start here'!$B$11)</f>
        <v/>
      </c>
      <c r="K72" s="10" t="str">
        <f aca="false">IF(G72="","",G72-N(H72)-N(J72))</f>
        <v/>
      </c>
      <c r="L72" s="9"/>
      <c r="M72" s="9"/>
      <c r="N72" s="10" t="str">
        <f aca="false">IF(G72="","",G72-N(L72)-N(M72))</f>
        <v/>
      </c>
      <c r="O72" s="8"/>
      <c r="P72" s="7"/>
    </row>
    <row r="73" customFormat="false" ht="15" hidden="false" customHeight="false" outlineLevel="0" collapsed="false">
      <c r="A73" s="7"/>
      <c r="B73" s="8"/>
      <c r="C73" s="7"/>
      <c r="D73" s="7"/>
      <c r="E73" s="7"/>
      <c r="F73" s="7"/>
      <c r="G73" s="9"/>
      <c r="H73" s="9"/>
      <c r="I73" s="7"/>
      <c r="J73" s="10" t="str">
        <f aca="false">IF(I73="","",I73*'Start here'!$B$11)</f>
        <v/>
      </c>
      <c r="K73" s="10" t="str">
        <f aca="false">IF(G73="","",G73-N(H73)-N(J73))</f>
        <v/>
      </c>
      <c r="L73" s="9"/>
      <c r="M73" s="9"/>
      <c r="N73" s="10" t="str">
        <f aca="false">IF(G73="","",G73-N(L73)-N(M73))</f>
        <v/>
      </c>
      <c r="O73" s="8"/>
      <c r="P73" s="7"/>
    </row>
    <row r="74" customFormat="false" ht="15" hidden="false" customHeight="false" outlineLevel="0" collapsed="false">
      <c r="A74" s="7"/>
      <c r="B74" s="8"/>
      <c r="C74" s="7"/>
      <c r="D74" s="7"/>
      <c r="E74" s="7"/>
      <c r="F74" s="7"/>
      <c r="G74" s="9"/>
      <c r="H74" s="9"/>
      <c r="I74" s="7"/>
      <c r="J74" s="10" t="str">
        <f aca="false">IF(I74="","",I74*'Start here'!$B$11)</f>
        <v/>
      </c>
      <c r="K74" s="10" t="str">
        <f aca="false">IF(G74="","",G74-N(H74)-N(J74))</f>
        <v/>
      </c>
      <c r="L74" s="9"/>
      <c r="M74" s="9"/>
      <c r="N74" s="10" t="str">
        <f aca="false">IF(G74="","",G74-N(L74)-N(M74))</f>
        <v/>
      </c>
      <c r="O74" s="8"/>
      <c r="P74" s="7"/>
    </row>
    <row r="75" customFormat="false" ht="15" hidden="false" customHeight="false" outlineLevel="0" collapsed="false">
      <c r="A75" s="7"/>
      <c r="B75" s="8"/>
      <c r="C75" s="7"/>
      <c r="D75" s="7"/>
      <c r="E75" s="7"/>
      <c r="F75" s="7"/>
      <c r="G75" s="9"/>
      <c r="H75" s="9"/>
      <c r="I75" s="7"/>
      <c r="J75" s="10" t="str">
        <f aca="false">IF(I75="","",I75*'Start here'!$B$11)</f>
        <v/>
      </c>
      <c r="K75" s="10" t="str">
        <f aca="false">IF(G75="","",G75-N(H75)-N(J75))</f>
        <v/>
      </c>
      <c r="L75" s="9"/>
      <c r="M75" s="9"/>
      <c r="N75" s="10" t="str">
        <f aca="false">IF(G75="","",G75-N(L75)-N(M75))</f>
        <v/>
      </c>
      <c r="O75" s="8"/>
      <c r="P75" s="7"/>
    </row>
    <row r="76" customFormat="false" ht="15" hidden="false" customHeight="false" outlineLevel="0" collapsed="false">
      <c r="A76" s="7"/>
      <c r="B76" s="8"/>
      <c r="C76" s="7"/>
      <c r="D76" s="7"/>
      <c r="E76" s="7"/>
      <c r="F76" s="7"/>
      <c r="G76" s="9"/>
      <c r="H76" s="9"/>
      <c r="I76" s="7"/>
      <c r="J76" s="10" t="str">
        <f aca="false">IF(I76="","",I76*'Start here'!$B$11)</f>
        <v/>
      </c>
      <c r="K76" s="10" t="str">
        <f aca="false">IF(G76="","",G76-N(H76)-N(J76))</f>
        <v/>
      </c>
      <c r="L76" s="9"/>
      <c r="M76" s="9"/>
      <c r="N76" s="10" t="str">
        <f aca="false">IF(G76="","",G76-N(L76)-N(M76))</f>
        <v/>
      </c>
      <c r="O76" s="8"/>
      <c r="P76" s="7"/>
    </row>
    <row r="77" customFormat="false" ht="15" hidden="false" customHeight="false" outlineLevel="0" collapsed="false">
      <c r="A77" s="7"/>
      <c r="B77" s="8"/>
      <c r="C77" s="7"/>
      <c r="D77" s="7"/>
      <c r="E77" s="7"/>
      <c r="F77" s="7"/>
      <c r="G77" s="9"/>
      <c r="H77" s="9"/>
      <c r="I77" s="7"/>
      <c r="J77" s="10" t="str">
        <f aca="false">IF(I77="","",I77*'Start here'!$B$11)</f>
        <v/>
      </c>
      <c r="K77" s="10" t="str">
        <f aca="false">IF(G77="","",G77-N(H77)-N(J77))</f>
        <v/>
      </c>
      <c r="L77" s="9"/>
      <c r="M77" s="9"/>
      <c r="N77" s="10" t="str">
        <f aca="false">IF(G77="","",G77-N(L77)-N(M77))</f>
        <v/>
      </c>
      <c r="O77" s="8"/>
      <c r="P77" s="7"/>
    </row>
    <row r="78" customFormat="false" ht="15" hidden="false" customHeight="false" outlineLevel="0" collapsed="false">
      <c r="A78" s="7"/>
      <c r="B78" s="8"/>
      <c r="C78" s="7"/>
      <c r="D78" s="7"/>
      <c r="E78" s="7"/>
      <c r="F78" s="7"/>
      <c r="G78" s="9"/>
      <c r="H78" s="9"/>
      <c r="I78" s="7"/>
      <c r="J78" s="10" t="str">
        <f aca="false">IF(I78="","",I78*'Start here'!$B$11)</f>
        <v/>
      </c>
      <c r="K78" s="10" t="str">
        <f aca="false">IF(G78="","",G78-N(H78)-N(J78))</f>
        <v/>
      </c>
      <c r="L78" s="9"/>
      <c r="M78" s="9"/>
      <c r="N78" s="10" t="str">
        <f aca="false">IF(G78="","",G78-N(L78)-N(M78))</f>
        <v/>
      </c>
      <c r="O78" s="8"/>
      <c r="P78" s="7"/>
    </row>
    <row r="79" customFormat="false" ht="15" hidden="false" customHeight="false" outlineLevel="0" collapsed="false">
      <c r="A79" s="7"/>
      <c r="B79" s="8"/>
      <c r="C79" s="7"/>
      <c r="D79" s="7"/>
      <c r="E79" s="7"/>
      <c r="F79" s="7"/>
      <c r="G79" s="9"/>
      <c r="H79" s="9"/>
      <c r="I79" s="7"/>
      <c r="J79" s="10" t="str">
        <f aca="false">IF(I79="","",I79*'Start here'!$B$11)</f>
        <v/>
      </c>
      <c r="K79" s="10" t="str">
        <f aca="false">IF(G79="","",G79-N(H79)-N(J79))</f>
        <v/>
      </c>
      <c r="L79" s="9"/>
      <c r="M79" s="9"/>
      <c r="N79" s="10" t="str">
        <f aca="false">IF(G79="","",G79-N(L79)-N(M79))</f>
        <v/>
      </c>
      <c r="O79" s="8"/>
      <c r="P79" s="7"/>
    </row>
    <row r="80" customFormat="false" ht="15" hidden="false" customHeight="false" outlineLevel="0" collapsed="false">
      <c r="A80" s="7"/>
      <c r="B80" s="8"/>
      <c r="C80" s="7"/>
      <c r="D80" s="7"/>
      <c r="E80" s="7"/>
      <c r="F80" s="7"/>
      <c r="G80" s="9"/>
      <c r="H80" s="9"/>
      <c r="I80" s="7"/>
      <c r="J80" s="10" t="str">
        <f aca="false">IF(I80="","",I80*'Start here'!$B$11)</f>
        <v/>
      </c>
      <c r="K80" s="10" t="str">
        <f aca="false">IF(G80="","",G80-N(H80)-N(J80))</f>
        <v/>
      </c>
      <c r="L80" s="9"/>
      <c r="M80" s="9"/>
      <c r="N80" s="10" t="str">
        <f aca="false">IF(G80="","",G80-N(L80)-N(M80))</f>
        <v/>
      </c>
      <c r="O80" s="8"/>
      <c r="P80" s="7"/>
    </row>
    <row r="81" customFormat="false" ht="15" hidden="false" customHeight="false" outlineLevel="0" collapsed="false">
      <c r="A81" s="7"/>
      <c r="B81" s="8"/>
      <c r="C81" s="7"/>
      <c r="D81" s="7"/>
      <c r="E81" s="7"/>
      <c r="F81" s="7"/>
      <c r="G81" s="9"/>
      <c r="H81" s="9"/>
      <c r="I81" s="7"/>
      <c r="J81" s="10" t="str">
        <f aca="false">IF(I81="","",I81*'Start here'!$B$11)</f>
        <v/>
      </c>
      <c r="K81" s="10" t="str">
        <f aca="false">IF(G81="","",G81-N(H81)-N(J81))</f>
        <v/>
      </c>
      <c r="L81" s="9"/>
      <c r="M81" s="9"/>
      <c r="N81" s="10" t="str">
        <f aca="false">IF(G81="","",G81-N(L81)-N(M81))</f>
        <v/>
      </c>
      <c r="O81" s="8"/>
      <c r="P81" s="7"/>
    </row>
    <row r="82" customFormat="false" ht="15" hidden="false" customHeight="false" outlineLevel="0" collapsed="false">
      <c r="A82" s="7"/>
      <c r="B82" s="8"/>
      <c r="C82" s="7"/>
      <c r="D82" s="7"/>
      <c r="E82" s="7"/>
      <c r="F82" s="7"/>
      <c r="G82" s="9"/>
      <c r="H82" s="9"/>
      <c r="I82" s="7"/>
      <c r="J82" s="10" t="str">
        <f aca="false">IF(I82="","",I82*'Start here'!$B$11)</f>
        <v/>
      </c>
      <c r="K82" s="10" t="str">
        <f aca="false">IF(G82="","",G82-N(H82)-N(J82))</f>
        <v/>
      </c>
      <c r="L82" s="9"/>
      <c r="M82" s="9"/>
      <c r="N82" s="10" t="str">
        <f aca="false">IF(G82="","",G82-N(L82)-N(M82))</f>
        <v/>
      </c>
      <c r="O82" s="8"/>
      <c r="P82" s="7"/>
    </row>
    <row r="83" customFormat="false" ht="15" hidden="false" customHeight="false" outlineLevel="0" collapsed="false">
      <c r="A83" s="7"/>
      <c r="B83" s="8"/>
      <c r="C83" s="7"/>
      <c r="D83" s="7"/>
      <c r="E83" s="7"/>
      <c r="F83" s="7"/>
      <c r="G83" s="9"/>
      <c r="H83" s="9"/>
      <c r="I83" s="7"/>
      <c r="J83" s="10" t="str">
        <f aca="false">IF(I83="","",I83*'Start here'!$B$11)</f>
        <v/>
      </c>
      <c r="K83" s="10" t="str">
        <f aca="false">IF(G83="","",G83-N(H83)-N(J83))</f>
        <v/>
      </c>
      <c r="L83" s="9"/>
      <c r="M83" s="9"/>
      <c r="N83" s="10" t="str">
        <f aca="false">IF(G83="","",G83-N(L83)-N(M83))</f>
        <v/>
      </c>
      <c r="O83" s="8"/>
      <c r="P83" s="7"/>
    </row>
    <row r="84" customFormat="false" ht="15" hidden="false" customHeight="false" outlineLevel="0" collapsed="false">
      <c r="A84" s="7"/>
      <c r="B84" s="8"/>
      <c r="C84" s="7"/>
      <c r="D84" s="7"/>
      <c r="E84" s="7"/>
      <c r="F84" s="7"/>
      <c r="G84" s="9"/>
      <c r="H84" s="9"/>
      <c r="I84" s="7"/>
      <c r="J84" s="10" t="str">
        <f aca="false">IF(I84="","",I84*'Start here'!$B$11)</f>
        <v/>
      </c>
      <c r="K84" s="10" t="str">
        <f aca="false">IF(G84="","",G84-N(H84)-N(J84))</f>
        <v/>
      </c>
      <c r="L84" s="9"/>
      <c r="M84" s="9"/>
      <c r="N84" s="10" t="str">
        <f aca="false">IF(G84="","",G84-N(L84)-N(M84))</f>
        <v/>
      </c>
      <c r="O84" s="8"/>
      <c r="P84" s="7"/>
    </row>
    <row r="85" customFormat="false" ht="15" hidden="false" customHeight="false" outlineLevel="0" collapsed="false">
      <c r="A85" s="7"/>
      <c r="B85" s="8"/>
      <c r="C85" s="7"/>
      <c r="D85" s="7"/>
      <c r="E85" s="7"/>
      <c r="F85" s="7"/>
      <c r="G85" s="9"/>
      <c r="H85" s="9"/>
      <c r="I85" s="7"/>
      <c r="J85" s="10" t="str">
        <f aca="false">IF(I85="","",I85*'Start here'!$B$11)</f>
        <v/>
      </c>
      <c r="K85" s="10" t="str">
        <f aca="false">IF(G85="","",G85-N(H85)-N(J85))</f>
        <v/>
      </c>
      <c r="L85" s="9"/>
      <c r="M85" s="9"/>
      <c r="N85" s="10" t="str">
        <f aca="false">IF(G85="","",G85-N(L85)-N(M85))</f>
        <v/>
      </c>
      <c r="O85" s="8"/>
      <c r="P85" s="7"/>
    </row>
    <row r="86" customFormat="false" ht="15" hidden="false" customHeight="false" outlineLevel="0" collapsed="false">
      <c r="A86" s="7"/>
      <c r="B86" s="8"/>
      <c r="C86" s="7"/>
      <c r="D86" s="7"/>
      <c r="E86" s="7"/>
      <c r="F86" s="7"/>
      <c r="G86" s="9"/>
      <c r="H86" s="9"/>
      <c r="I86" s="7"/>
      <c r="J86" s="10" t="str">
        <f aca="false">IF(I86="","",I86*'Start here'!$B$11)</f>
        <v/>
      </c>
      <c r="K86" s="10" t="str">
        <f aca="false">IF(G86="","",G86-N(H86)-N(J86))</f>
        <v/>
      </c>
      <c r="L86" s="9"/>
      <c r="M86" s="9"/>
      <c r="N86" s="10" t="str">
        <f aca="false">IF(G86="","",G86-N(L86)-N(M86))</f>
        <v/>
      </c>
      <c r="O86" s="8"/>
      <c r="P86" s="7"/>
    </row>
    <row r="87" customFormat="false" ht="15" hidden="false" customHeight="false" outlineLevel="0" collapsed="false">
      <c r="A87" s="7"/>
      <c r="B87" s="8"/>
      <c r="C87" s="7"/>
      <c r="D87" s="7"/>
      <c r="E87" s="7"/>
      <c r="F87" s="7"/>
      <c r="G87" s="9"/>
      <c r="H87" s="9"/>
      <c r="I87" s="7"/>
      <c r="J87" s="10" t="str">
        <f aca="false">IF(I87="","",I87*'Start here'!$B$11)</f>
        <v/>
      </c>
      <c r="K87" s="10" t="str">
        <f aca="false">IF(G87="","",G87-N(H87)-N(J87))</f>
        <v/>
      </c>
      <c r="L87" s="9"/>
      <c r="M87" s="9"/>
      <c r="N87" s="10" t="str">
        <f aca="false">IF(G87="","",G87-N(L87)-N(M87))</f>
        <v/>
      </c>
      <c r="O87" s="8"/>
      <c r="P87" s="7"/>
    </row>
    <row r="88" customFormat="false" ht="15" hidden="false" customHeight="false" outlineLevel="0" collapsed="false">
      <c r="A88" s="7"/>
      <c r="B88" s="8"/>
      <c r="C88" s="7"/>
      <c r="D88" s="7"/>
      <c r="E88" s="7"/>
      <c r="F88" s="7"/>
      <c r="G88" s="9"/>
      <c r="H88" s="9"/>
      <c r="I88" s="7"/>
      <c r="J88" s="10" t="str">
        <f aca="false">IF(I88="","",I88*'Start here'!$B$11)</f>
        <v/>
      </c>
      <c r="K88" s="10" t="str">
        <f aca="false">IF(G88="","",G88-N(H88)-N(J88))</f>
        <v/>
      </c>
      <c r="L88" s="9"/>
      <c r="M88" s="9"/>
      <c r="N88" s="10" t="str">
        <f aca="false">IF(G88="","",G88-N(L88)-N(M88))</f>
        <v/>
      </c>
      <c r="O88" s="8"/>
      <c r="P88" s="7"/>
    </row>
    <row r="89" customFormat="false" ht="15" hidden="false" customHeight="false" outlineLevel="0" collapsed="false">
      <c r="A89" s="7"/>
      <c r="B89" s="8"/>
      <c r="C89" s="7"/>
      <c r="D89" s="7"/>
      <c r="E89" s="7"/>
      <c r="F89" s="7"/>
      <c r="G89" s="9"/>
      <c r="H89" s="9"/>
      <c r="I89" s="7"/>
      <c r="J89" s="10" t="str">
        <f aca="false">IF(I89="","",I89*'Start here'!$B$11)</f>
        <v/>
      </c>
      <c r="K89" s="10" t="str">
        <f aca="false">IF(G89="","",G89-N(H89)-N(J89))</f>
        <v/>
      </c>
      <c r="L89" s="9"/>
      <c r="M89" s="9"/>
      <c r="N89" s="10" t="str">
        <f aca="false">IF(G89="","",G89-N(L89)-N(M89))</f>
        <v/>
      </c>
      <c r="O89" s="8"/>
      <c r="P89" s="7"/>
    </row>
    <row r="90" customFormat="false" ht="15" hidden="false" customHeight="false" outlineLevel="0" collapsed="false">
      <c r="A90" s="7"/>
      <c r="B90" s="8"/>
      <c r="C90" s="7"/>
      <c r="D90" s="7"/>
      <c r="E90" s="7"/>
      <c r="F90" s="7"/>
      <c r="G90" s="9"/>
      <c r="H90" s="9"/>
      <c r="I90" s="7"/>
      <c r="J90" s="10" t="str">
        <f aca="false">IF(I90="","",I90*'Start here'!$B$11)</f>
        <v/>
      </c>
      <c r="K90" s="10" t="str">
        <f aca="false">IF(G90="","",G90-N(H90)-N(J90))</f>
        <v/>
      </c>
      <c r="L90" s="9"/>
      <c r="M90" s="9"/>
      <c r="N90" s="10" t="str">
        <f aca="false">IF(G90="","",G90-N(L90)-N(M90))</f>
        <v/>
      </c>
      <c r="O90" s="8"/>
      <c r="P90" s="7"/>
    </row>
    <row r="91" customFormat="false" ht="15" hidden="false" customHeight="false" outlineLevel="0" collapsed="false">
      <c r="A91" s="7"/>
      <c r="B91" s="8"/>
      <c r="C91" s="7"/>
      <c r="D91" s="7"/>
      <c r="E91" s="7"/>
      <c r="F91" s="7"/>
      <c r="G91" s="9"/>
      <c r="H91" s="9"/>
      <c r="I91" s="7"/>
      <c r="J91" s="10" t="str">
        <f aca="false">IF(I91="","",I91*'Start here'!$B$11)</f>
        <v/>
      </c>
      <c r="K91" s="10" t="str">
        <f aca="false">IF(G91="","",G91-N(H91)-N(J91))</f>
        <v/>
      </c>
      <c r="L91" s="9"/>
      <c r="M91" s="9"/>
      <c r="N91" s="10" t="str">
        <f aca="false">IF(G91="","",G91-N(L91)-N(M91))</f>
        <v/>
      </c>
      <c r="O91" s="8"/>
      <c r="P91" s="7"/>
    </row>
    <row r="92" customFormat="false" ht="15" hidden="false" customHeight="false" outlineLevel="0" collapsed="false">
      <c r="A92" s="7"/>
      <c r="B92" s="8"/>
      <c r="C92" s="7"/>
      <c r="D92" s="7"/>
      <c r="E92" s="7"/>
      <c r="F92" s="7"/>
      <c r="G92" s="9"/>
      <c r="H92" s="9"/>
      <c r="I92" s="7"/>
      <c r="J92" s="10" t="str">
        <f aca="false">IF(I92="","",I92*'Start here'!$B$11)</f>
        <v/>
      </c>
      <c r="K92" s="10" t="str">
        <f aca="false">IF(G92="","",G92-N(H92)-N(J92))</f>
        <v/>
      </c>
      <c r="L92" s="9"/>
      <c r="M92" s="9"/>
      <c r="N92" s="10" t="str">
        <f aca="false">IF(G92="","",G92-N(L92)-N(M92))</f>
        <v/>
      </c>
      <c r="O92" s="8"/>
      <c r="P92" s="7"/>
    </row>
    <row r="93" customFormat="false" ht="15" hidden="false" customHeight="false" outlineLevel="0" collapsed="false">
      <c r="A93" s="7"/>
      <c r="B93" s="8"/>
      <c r="C93" s="7"/>
      <c r="D93" s="7"/>
      <c r="E93" s="7"/>
      <c r="F93" s="7"/>
      <c r="G93" s="9"/>
      <c r="H93" s="9"/>
      <c r="I93" s="7"/>
      <c r="J93" s="10" t="str">
        <f aca="false">IF(I93="","",I93*'Start here'!$B$11)</f>
        <v/>
      </c>
      <c r="K93" s="10" t="str">
        <f aca="false">IF(G93="","",G93-N(H93)-N(J93))</f>
        <v/>
      </c>
      <c r="L93" s="9"/>
      <c r="M93" s="9"/>
      <c r="N93" s="10" t="str">
        <f aca="false">IF(G93="","",G93-N(L93)-N(M93))</f>
        <v/>
      </c>
      <c r="O93" s="8"/>
      <c r="P93" s="7"/>
    </row>
    <row r="94" customFormat="false" ht="15" hidden="false" customHeight="false" outlineLevel="0" collapsed="false">
      <c r="A94" s="7"/>
      <c r="B94" s="8"/>
      <c r="C94" s="7"/>
      <c r="D94" s="7"/>
      <c r="E94" s="7"/>
      <c r="F94" s="7"/>
      <c r="G94" s="9"/>
      <c r="H94" s="9"/>
      <c r="I94" s="7"/>
      <c r="J94" s="10" t="str">
        <f aca="false">IF(I94="","",I94*'Start here'!$B$11)</f>
        <v/>
      </c>
      <c r="K94" s="10" t="str">
        <f aca="false">IF(G94="","",G94-N(H94)-N(J94))</f>
        <v/>
      </c>
      <c r="L94" s="9"/>
      <c r="M94" s="9"/>
      <c r="N94" s="10" t="str">
        <f aca="false">IF(G94="","",G94-N(L94)-N(M94))</f>
        <v/>
      </c>
      <c r="O94" s="8"/>
      <c r="P94" s="7"/>
    </row>
    <row r="95" customFormat="false" ht="15" hidden="false" customHeight="false" outlineLevel="0" collapsed="false">
      <c r="A95" s="7"/>
      <c r="B95" s="8"/>
      <c r="C95" s="7"/>
      <c r="D95" s="7"/>
      <c r="E95" s="7"/>
      <c r="F95" s="7"/>
      <c r="G95" s="9"/>
      <c r="H95" s="9"/>
      <c r="I95" s="7"/>
      <c r="J95" s="10" t="str">
        <f aca="false">IF(I95="","",I95*'Start here'!$B$11)</f>
        <v/>
      </c>
      <c r="K95" s="10" t="str">
        <f aca="false">IF(G95="","",G95-N(H95)-N(J95))</f>
        <v/>
      </c>
      <c r="L95" s="9"/>
      <c r="M95" s="9"/>
      <c r="N95" s="10" t="str">
        <f aca="false">IF(G95="","",G95-N(L95)-N(M95))</f>
        <v/>
      </c>
      <c r="O95" s="8"/>
      <c r="P95" s="7"/>
    </row>
    <row r="96" customFormat="false" ht="15" hidden="false" customHeight="false" outlineLevel="0" collapsed="false">
      <c r="A96" s="7"/>
      <c r="B96" s="8"/>
      <c r="C96" s="7"/>
      <c r="D96" s="7"/>
      <c r="E96" s="7"/>
      <c r="F96" s="7"/>
      <c r="G96" s="9"/>
      <c r="H96" s="9"/>
      <c r="I96" s="7"/>
      <c r="J96" s="10" t="str">
        <f aca="false">IF(I96="","",I96*'Start here'!$B$11)</f>
        <v/>
      </c>
      <c r="K96" s="10" t="str">
        <f aca="false">IF(G96="","",G96-N(H96)-N(J96))</f>
        <v/>
      </c>
      <c r="L96" s="9"/>
      <c r="M96" s="9"/>
      <c r="N96" s="10" t="str">
        <f aca="false">IF(G96="","",G96-N(L96)-N(M96))</f>
        <v/>
      </c>
      <c r="O96" s="8"/>
      <c r="P96" s="7"/>
    </row>
    <row r="97" customFormat="false" ht="15" hidden="false" customHeight="false" outlineLevel="0" collapsed="false">
      <c r="A97" s="7"/>
      <c r="B97" s="8"/>
      <c r="C97" s="7"/>
      <c r="D97" s="7"/>
      <c r="E97" s="7"/>
      <c r="F97" s="7"/>
      <c r="G97" s="9"/>
      <c r="H97" s="9"/>
      <c r="I97" s="7"/>
      <c r="J97" s="10" t="str">
        <f aca="false">IF(I97="","",I97*'Start here'!$B$11)</f>
        <v/>
      </c>
      <c r="K97" s="10" t="str">
        <f aca="false">IF(G97="","",G97-N(H97)-N(J97))</f>
        <v/>
      </c>
      <c r="L97" s="9"/>
      <c r="M97" s="9"/>
      <c r="N97" s="10" t="str">
        <f aca="false">IF(G97="","",G97-N(L97)-N(M97))</f>
        <v/>
      </c>
      <c r="O97" s="8"/>
      <c r="P97" s="7"/>
    </row>
    <row r="98" customFormat="false" ht="15" hidden="false" customHeight="false" outlineLevel="0" collapsed="false">
      <c r="A98" s="7"/>
      <c r="B98" s="8"/>
      <c r="C98" s="7"/>
      <c r="D98" s="7"/>
      <c r="E98" s="7"/>
      <c r="F98" s="7"/>
      <c r="G98" s="9"/>
      <c r="H98" s="9"/>
      <c r="I98" s="7"/>
      <c r="J98" s="10" t="str">
        <f aca="false">IF(I98="","",I98*'Start here'!$B$11)</f>
        <v/>
      </c>
      <c r="K98" s="10" t="str">
        <f aca="false">IF(G98="","",G98-N(H98)-N(J98))</f>
        <v/>
      </c>
      <c r="L98" s="9"/>
      <c r="M98" s="9"/>
      <c r="N98" s="10" t="str">
        <f aca="false">IF(G98="","",G98-N(L98)-N(M98))</f>
        <v/>
      </c>
      <c r="O98" s="8"/>
      <c r="P98" s="7"/>
    </row>
    <row r="99" customFormat="false" ht="15" hidden="false" customHeight="false" outlineLevel="0" collapsed="false">
      <c r="A99" s="7"/>
      <c r="B99" s="8"/>
      <c r="C99" s="7"/>
      <c r="D99" s="7"/>
      <c r="E99" s="7"/>
      <c r="F99" s="7"/>
      <c r="G99" s="9"/>
      <c r="H99" s="9"/>
      <c r="I99" s="7"/>
      <c r="J99" s="10" t="str">
        <f aca="false">IF(I99="","",I99*'Start here'!$B$11)</f>
        <v/>
      </c>
      <c r="K99" s="10" t="str">
        <f aca="false">IF(G99="","",G99-N(H99)-N(J99))</f>
        <v/>
      </c>
      <c r="L99" s="9"/>
      <c r="M99" s="9"/>
      <c r="N99" s="10" t="str">
        <f aca="false">IF(G99="","",G99-N(L99)-N(M99))</f>
        <v/>
      </c>
      <c r="O99" s="8"/>
      <c r="P99" s="7"/>
    </row>
    <row r="100" customFormat="false" ht="15" hidden="false" customHeight="false" outlineLevel="0" collapsed="false">
      <c r="A100" s="7"/>
      <c r="B100" s="8"/>
      <c r="C100" s="7"/>
      <c r="D100" s="7"/>
      <c r="E100" s="7"/>
      <c r="F100" s="7"/>
      <c r="G100" s="9"/>
      <c r="H100" s="9"/>
      <c r="I100" s="7"/>
      <c r="J100" s="10" t="str">
        <f aca="false">IF(I100="","",I100*'Start here'!$B$11)</f>
        <v/>
      </c>
      <c r="K100" s="10" t="str">
        <f aca="false">IF(G100="","",G100-N(H100)-N(J100))</f>
        <v/>
      </c>
      <c r="L100" s="9"/>
      <c r="M100" s="9"/>
      <c r="N100" s="10" t="str">
        <f aca="false">IF(G100="","",G100-N(L100)-N(M100))</f>
        <v/>
      </c>
      <c r="O100" s="8"/>
      <c r="P100" s="7"/>
    </row>
    <row r="101" customFormat="false" ht="15" hidden="false" customHeight="false" outlineLevel="0" collapsed="false">
      <c r="A101" s="7"/>
      <c r="B101" s="8"/>
      <c r="C101" s="7"/>
      <c r="D101" s="7"/>
      <c r="E101" s="7"/>
      <c r="F101" s="7"/>
      <c r="G101" s="9"/>
      <c r="H101" s="9"/>
      <c r="I101" s="7"/>
      <c r="J101" s="10" t="str">
        <f aca="false">IF(I101="","",I101*'Start here'!$B$11)</f>
        <v/>
      </c>
      <c r="K101" s="10" t="str">
        <f aca="false">IF(G101="","",G101-N(H101)-N(J101))</f>
        <v/>
      </c>
      <c r="L101" s="9"/>
      <c r="M101" s="9"/>
      <c r="N101" s="10" t="str">
        <f aca="false">IF(G101="","",G101-N(L101)-N(M101))</f>
        <v/>
      </c>
      <c r="O101" s="8"/>
      <c r="P101" s="7"/>
    </row>
    <row r="102" customFormat="false" ht="15" hidden="false" customHeight="false" outlineLevel="0" collapsed="false">
      <c r="A102" s="7"/>
      <c r="B102" s="8"/>
      <c r="C102" s="7"/>
      <c r="D102" s="7"/>
      <c r="E102" s="7"/>
      <c r="F102" s="7"/>
      <c r="G102" s="9"/>
      <c r="H102" s="9"/>
      <c r="I102" s="7"/>
      <c r="J102" s="10" t="str">
        <f aca="false">IF(I102="","",I102*'Start here'!$B$11)</f>
        <v/>
      </c>
      <c r="K102" s="10" t="str">
        <f aca="false">IF(G102="","",G102-N(H102)-N(J102))</f>
        <v/>
      </c>
      <c r="L102" s="9"/>
      <c r="M102" s="9"/>
      <c r="N102" s="10" t="str">
        <f aca="false">IF(G102="","",G102-N(L102)-N(M102))</f>
        <v/>
      </c>
      <c r="O102" s="8"/>
      <c r="P102" s="7"/>
    </row>
    <row r="103" customFormat="false" ht="15" hidden="false" customHeight="false" outlineLevel="0" collapsed="false">
      <c r="A103" s="7"/>
      <c r="B103" s="8"/>
      <c r="C103" s="7"/>
      <c r="D103" s="7"/>
      <c r="E103" s="7"/>
      <c r="F103" s="7"/>
      <c r="G103" s="9"/>
      <c r="H103" s="9"/>
      <c r="I103" s="7"/>
      <c r="J103" s="10" t="str">
        <f aca="false">IF(I103="","",I103*'Start here'!$B$11)</f>
        <v/>
      </c>
      <c r="K103" s="10" t="str">
        <f aca="false">IF(G103="","",G103-N(H103)-N(J103))</f>
        <v/>
      </c>
      <c r="L103" s="9"/>
      <c r="M103" s="9"/>
      <c r="N103" s="10" t="str">
        <f aca="false">IF(G103="","",G103-N(L103)-N(M103))</f>
        <v/>
      </c>
      <c r="O103" s="8"/>
      <c r="P103" s="7"/>
    </row>
    <row r="104" customFormat="false" ht="15" hidden="false" customHeight="false" outlineLevel="0" collapsed="false">
      <c r="A104" s="7"/>
      <c r="B104" s="8"/>
      <c r="C104" s="7"/>
      <c r="D104" s="7"/>
      <c r="E104" s="7"/>
      <c r="F104" s="7"/>
      <c r="G104" s="9"/>
      <c r="H104" s="9"/>
      <c r="I104" s="7"/>
      <c r="J104" s="10" t="str">
        <f aca="false">IF(I104="","",I104*'Start here'!$B$11)</f>
        <v/>
      </c>
      <c r="K104" s="10" t="str">
        <f aca="false">IF(G104="","",G104-N(H104)-N(J104))</f>
        <v/>
      </c>
      <c r="L104" s="9"/>
      <c r="M104" s="9"/>
      <c r="N104" s="10" t="str">
        <f aca="false">IF(G104="","",G104-N(L104)-N(M104))</f>
        <v/>
      </c>
      <c r="O104" s="8"/>
      <c r="P104" s="7"/>
    </row>
    <row r="105" customFormat="false" ht="15" hidden="false" customHeight="false" outlineLevel="0" collapsed="false">
      <c r="A105" s="7"/>
      <c r="B105" s="8"/>
      <c r="C105" s="7"/>
      <c r="D105" s="7"/>
      <c r="E105" s="7"/>
      <c r="F105" s="7"/>
      <c r="G105" s="9"/>
      <c r="H105" s="9"/>
      <c r="I105" s="7"/>
      <c r="J105" s="10" t="str">
        <f aca="false">IF(I105="","",I105*'Start here'!$B$11)</f>
        <v/>
      </c>
      <c r="K105" s="10" t="str">
        <f aca="false">IF(G105="","",G105-N(H105)-N(J105))</f>
        <v/>
      </c>
      <c r="L105" s="9"/>
      <c r="M105" s="9"/>
      <c r="N105" s="10" t="str">
        <f aca="false">IF(G105="","",G105-N(L105)-N(M105))</f>
        <v/>
      </c>
      <c r="O105" s="8"/>
      <c r="P105" s="7"/>
    </row>
    <row r="106" customFormat="false" ht="15" hidden="false" customHeight="false" outlineLevel="0" collapsed="false">
      <c r="A106" s="7"/>
      <c r="B106" s="8"/>
      <c r="C106" s="7"/>
      <c r="D106" s="7"/>
      <c r="E106" s="7"/>
      <c r="F106" s="7"/>
      <c r="G106" s="9"/>
      <c r="H106" s="9"/>
      <c r="I106" s="7"/>
      <c r="J106" s="10" t="str">
        <f aca="false">IF(I106="","",I106*'Start here'!$B$11)</f>
        <v/>
      </c>
      <c r="K106" s="10" t="str">
        <f aca="false">IF(G106="","",G106-N(H106)-N(J106))</f>
        <v/>
      </c>
      <c r="L106" s="9"/>
      <c r="M106" s="9"/>
      <c r="N106" s="10" t="str">
        <f aca="false">IF(G106="","",G106-N(L106)-N(M106))</f>
        <v/>
      </c>
      <c r="O106" s="8"/>
      <c r="P106" s="7"/>
    </row>
    <row r="107" customFormat="false" ht="15" hidden="false" customHeight="false" outlineLevel="0" collapsed="false">
      <c r="A107" s="7"/>
      <c r="B107" s="8"/>
      <c r="C107" s="7"/>
      <c r="D107" s="7"/>
      <c r="E107" s="7"/>
      <c r="F107" s="7"/>
      <c r="G107" s="9"/>
      <c r="H107" s="9"/>
      <c r="I107" s="7"/>
      <c r="J107" s="10" t="str">
        <f aca="false">IF(I107="","",I107*'Start here'!$B$11)</f>
        <v/>
      </c>
      <c r="K107" s="10" t="str">
        <f aca="false">IF(G107="","",G107-N(H107)-N(J107))</f>
        <v/>
      </c>
      <c r="L107" s="9"/>
      <c r="M107" s="9"/>
      <c r="N107" s="10" t="str">
        <f aca="false">IF(G107="","",G107-N(L107)-N(M107))</f>
        <v/>
      </c>
      <c r="O107" s="8"/>
      <c r="P107" s="7"/>
    </row>
    <row r="108" customFormat="false" ht="15" hidden="false" customHeight="false" outlineLevel="0" collapsed="false">
      <c r="A108" s="7"/>
      <c r="B108" s="8"/>
      <c r="C108" s="7"/>
      <c r="D108" s="7"/>
      <c r="E108" s="7"/>
      <c r="F108" s="7"/>
      <c r="G108" s="9"/>
      <c r="H108" s="9"/>
      <c r="I108" s="7"/>
      <c r="J108" s="10" t="str">
        <f aca="false">IF(I108="","",I108*'Start here'!$B$11)</f>
        <v/>
      </c>
      <c r="K108" s="10" t="str">
        <f aca="false">IF(G108="","",G108-N(H108)-N(J108))</f>
        <v/>
      </c>
      <c r="L108" s="9"/>
      <c r="M108" s="9"/>
      <c r="N108" s="10" t="str">
        <f aca="false">IF(G108="","",G108-N(L108)-N(M108))</f>
        <v/>
      </c>
      <c r="O108" s="8"/>
      <c r="P108" s="7"/>
    </row>
    <row r="109" customFormat="false" ht="15" hidden="false" customHeight="false" outlineLevel="0" collapsed="false">
      <c r="A109" s="7"/>
      <c r="B109" s="8"/>
      <c r="C109" s="7"/>
      <c r="D109" s="7"/>
      <c r="E109" s="7"/>
      <c r="F109" s="7"/>
      <c r="G109" s="9"/>
      <c r="H109" s="9"/>
      <c r="I109" s="7"/>
      <c r="J109" s="10" t="str">
        <f aca="false">IF(I109="","",I109*'Start here'!$B$11)</f>
        <v/>
      </c>
      <c r="K109" s="10" t="str">
        <f aca="false">IF(G109="","",G109-N(H109)-N(J109))</f>
        <v/>
      </c>
      <c r="L109" s="9"/>
      <c r="M109" s="9"/>
      <c r="N109" s="10" t="str">
        <f aca="false">IF(G109="","",G109-N(L109)-N(M109))</f>
        <v/>
      </c>
      <c r="O109" s="8"/>
      <c r="P109" s="7"/>
    </row>
    <row r="110" customFormat="false" ht="15" hidden="false" customHeight="false" outlineLevel="0" collapsed="false">
      <c r="A110" s="7"/>
      <c r="B110" s="8"/>
      <c r="C110" s="7"/>
      <c r="D110" s="7"/>
      <c r="E110" s="7"/>
      <c r="F110" s="7"/>
      <c r="G110" s="9"/>
      <c r="H110" s="9"/>
      <c r="I110" s="7"/>
      <c r="J110" s="10" t="str">
        <f aca="false">IF(I110="","",I110*'Start here'!$B$11)</f>
        <v/>
      </c>
      <c r="K110" s="10" t="str">
        <f aca="false">IF(G110="","",G110-N(H110)-N(J110))</f>
        <v/>
      </c>
      <c r="L110" s="9"/>
      <c r="M110" s="9"/>
      <c r="N110" s="10" t="str">
        <f aca="false">IF(G110="","",G110-N(L110)-N(M110))</f>
        <v/>
      </c>
      <c r="O110" s="8"/>
      <c r="P110" s="7"/>
    </row>
    <row r="111" customFormat="false" ht="15" hidden="false" customHeight="false" outlineLevel="0" collapsed="false">
      <c r="A111" s="7"/>
      <c r="B111" s="8"/>
      <c r="C111" s="7"/>
      <c r="D111" s="7"/>
      <c r="E111" s="7"/>
      <c r="F111" s="7"/>
      <c r="G111" s="9"/>
      <c r="H111" s="9"/>
      <c r="I111" s="7"/>
      <c r="J111" s="10" t="str">
        <f aca="false">IF(I111="","",I111*'Start here'!$B$11)</f>
        <v/>
      </c>
      <c r="K111" s="10" t="str">
        <f aca="false">IF(G111="","",G111-N(H111)-N(J111))</f>
        <v/>
      </c>
      <c r="L111" s="9"/>
      <c r="M111" s="9"/>
      <c r="N111" s="10" t="str">
        <f aca="false">IF(G111="","",G111-N(L111)-N(M111))</f>
        <v/>
      </c>
      <c r="O111" s="8"/>
      <c r="P111" s="7"/>
    </row>
    <row r="112" customFormat="false" ht="15" hidden="false" customHeight="false" outlineLevel="0" collapsed="false">
      <c r="A112" s="7"/>
      <c r="B112" s="8"/>
      <c r="C112" s="7"/>
      <c r="D112" s="7"/>
      <c r="E112" s="7"/>
      <c r="F112" s="7"/>
      <c r="G112" s="9"/>
      <c r="H112" s="9"/>
      <c r="I112" s="7"/>
      <c r="J112" s="10" t="str">
        <f aca="false">IF(I112="","",I112*'Start here'!$B$11)</f>
        <v/>
      </c>
      <c r="K112" s="10" t="str">
        <f aca="false">IF(G112="","",G112-N(H112)-N(J112))</f>
        <v/>
      </c>
      <c r="L112" s="9"/>
      <c r="M112" s="9"/>
      <c r="N112" s="10" t="str">
        <f aca="false">IF(G112="","",G112-N(L112)-N(M112))</f>
        <v/>
      </c>
      <c r="O112" s="8"/>
      <c r="P112" s="7"/>
    </row>
    <row r="113" customFormat="false" ht="15" hidden="false" customHeight="false" outlineLevel="0" collapsed="false">
      <c r="A113" s="7"/>
      <c r="B113" s="8"/>
      <c r="C113" s="7"/>
      <c r="D113" s="7"/>
      <c r="E113" s="7"/>
      <c r="F113" s="7"/>
      <c r="G113" s="9"/>
      <c r="H113" s="9"/>
      <c r="I113" s="7"/>
      <c r="J113" s="10" t="str">
        <f aca="false">IF(I113="","",I113*'Start here'!$B$11)</f>
        <v/>
      </c>
      <c r="K113" s="10" t="str">
        <f aca="false">IF(G113="","",G113-N(H113)-N(J113))</f>
        <v/>
      </c>
      <c r="L113" s="9"/>
      <c r="M113" s="9"/>
      <c r="N113" s="10" t="str">
        <f aca="false">IF(G113="","",G113-N(L113)-N(M113))</f>
        <v/>
      </c>
      <c r="O113" s="8"/>
      <c r="P113" s="7"/>
    </row>
    <row r="114" customFormat="false" ht="15" hidden="false" customHeight="false" outlineLevel="0" collapsed="false">
      <c r="A114" s="7"/>
      <c r="B114" s="8"/>
      <c r="C114" s="7"/>
      <c r="D114" s="7"/>
      <c r="E114" s="7"/>
      <c r="F114" s="7"/>
      <c r="G114" s="9"/>
      <c r="H114" s="9"/>
      <c r="I114" s="7"/>
      <c r="J114" s="10" t="str">
        <f aca="false">IF(I114="","",I114*'Start here'!$B$11)</f>
        <v/>
      </c>
      <c r="K114" s="10" t="str">
        <f aca="false">IF(G114="","",G114-N(H114)-N(J114))</f>
        <v/>
      </c>
      <c r="L114" s="9"/>
      <c r="M114" s="9"/>
      <c r="N114" s="10" t="str">
        <f aca="false">IF(G114="","",G114-N(L114)-N(M114))</f>
        <v/>
      </c>
      <c r="O114" s="8"/>
      <c r="P114" s="7"/>
    </row>
    <row r="115" customFormat="false" ht="15" hidden="false" customHeight="false" outlineLevel="0" collapsed="false">
      <c r="A115" s="7"/>
      <c r="B115" s="8"/>
      <c r="C115" s="7"/>
      <c r="D115" s="7"/>
      <c r="E115" s="7"/>
      <c r="F115" s="7"/>
      <c r="G115" s="9"/>
      <c r="H115" s="9"/>
      <c r="I115" s="7"/>
      <c r="J115" s="10" t="str">
        <f aca="false">IF(I115="","",I115*'Start here'!$B$11)</f>
        <v/>
      </c>
      <c r="K115" s="10" t="str">
        <f aca="false">IF(G115="","",G115-N(H115)-N(J115))</f>
        <v/>
      </c>
      <c r="L115" s="9"/>
      <c r="M115" s="9"/>
      <c r="N115" s="10" t="str">
        <f aca="false">IF(G115="","",G115-N(L115)-N(M115))</f>
        <v/>
      </c>
      <c r="O115" s="8"/>
      <c r="P115" s="7"/>
    </row>
    <row r="116" customFormat="false" ht="15" hidden="false" customHeight="false" outlineLevel="0" collapsed="false">
      <c r="A116" s="7"/>
      <c r="B116" s="8"/>
      <c r="C116" s="7"/>
      <c r="D116" s="7"/>
      <c r="E116" s="7"/>
      <c r="F116" s="7"/>
      <c r="G116" s="9"/>
      <c r="H116" s="9"/>
      <c r="I116" s="7"/>
      <c r="J116" s="10" t="str">
        <f aca="false">IF(I116="","",I116*'Start here'!$B$11)</f>
        <v/>
      </c>
      <c r="K116" s="10" t="str">
        <f aca="false">IF(G116="","",G116-N(H116)-N(J116))</f>
        <v/>
      </c>
      <c r="L116" s="9"/>
      <c r="M116" s="9"/>
      <c r="N116" s="10" t="str">
        <f aca="false">IF(G116="","",G116-N(L116)-N(M116))</f>
        <v/>
      </c>
      <c r="O116" s="8"/>
      <c r="P116" s="7"/>
    </row>
    <row r="117" customFormat="false" ht="15" hidden="false" customHeight="false" outlineLevel="0" collapsed="false">
      <c r="A117" s="7"/>
      <c r="B117" s="8"/>
      <c r="C117" s="7"/>
      <c r="D117" s="7"/>
      <c r="E117" s="7"/>
      <c r="F117" s="7"/>
      <c r="G117" s="9"/>
      <c r="H117" s="9"/>
      <c r="I117" s="7"/>
      <c r="J117" s="10" t="str">
        <f aca="false">IF(I117="","",I117*'Start here'!$B$11)</f>
        <v/>
      </c>
      <c r="K117" s="10" t="str">
        <f aca="false">IF(G117="","",G117-N(H117)-N(J117))</f>
        <v/>
      </c>
      <c r="L117" s="9"/>
      <c r="M117" s="9"/>
      <c r="N117" s="10" t="str">
        <f aca="false">IF(G117="","",G117-N(L117)-N(M117))</f>
        <v/>
      </c>
      <c r="O117" s="8"/>
      <c r="P117" s="7"/>
    </row>
    <row r="118" customFormat="false" ht="15" hidden="false" customHeight="false" outlineLevel="0" collapsed="false">
      <c r="A118" s="7"/>
      <c r="B118" s="8"/>
      <c r="C118" s="7"/>
      <c r="D118" s="7"/>
      <c r="E118" s="7"/>
      <c r="F118" s="7"/>
      <c r="G118" s="9"/>
      <c r="H118" s="9"/>
      <c r="I118" s="7"/>
      <c r="J118" s="10" t="str">
        <f aca="false">IF(I118="","",I118*'Start here'!$B$11)</f>
        <v/>
      </c>
      <c r="K118" s="10" t="str">
        <f aca="false">IF(G118="","",G118-N(H118)-N(J118))</f>
        <v/>
      </c>
      <c r="L118" s="9"/>
      <c r="M118" s="9"/>
      <c r="N118" s="10" t="str">
        <f aca="false">IF(G118="","",G118-N(L118)-N(M118))</f>
        <v/>
      </c>
      <c r="O118" s="8"/>
      <c r="P118" s="7"/>
    </row>
    <row r="119" customFormat="false" ht="15" hidden="false" customHeight="false" outlineLevel="0" collapsed="false">
      <c r="A119" s="7"/>
      <c r="B119" s="8"/>
      <c r="C119" s="7"/>
      <c r="D119" s="7"/>
      <c r="E119" s="7"/>
      <c r="F119" s="7"/>
      <c r="G119" s="9"/>
      <c r="H119" s="9"/>
      <c r="I119" s="7"/>
      <c r="J119" s="10" t="str">
        <f aca="false">IF(I119="","",I119*'Start here'!$B$11)</f>
        <v/>
      </c>
      <c r="K119" s="10" t="str">
        <f aca="false">IF(G119="","",G119-N(H119)-N(J119))</f>
        <v/>
      </c>
      <c r="L119" s="9"/>
      <c r="M119" s="9"/>
      <c r="N119" s="10" t="str">
        <f aca="false">IF(G119="","",G119-N(L119)-N(M119))</f>
        <v/>
      </c>
      <c r="O119" s="8"/>
      <c r="P119" s="7"/>
    </row>
    <row r="120" customFormat="false" ht="15" hidden="false" customHeight="false" outlineLevel="0" collapsed="false">
      <c r="A120" s="7"/>
      <c r="B120" s="8"/>
      <c r="C120" s="7"/>
      <c r="D120" s="7"/>
      <c r="E120" s="7"/>
      <c r="F120" s="7"/>
      <c r="G120" s="9"/>
      <c r="H120" s="9"/>
      <c r="I120" s="7"/>
      <c r="J120" s="10" t="str">
        <f aca="false">IF(I120="","",I120*'Start here'!$B$11)</f>
        <v/>
      </c>
      <c r="K120" s="10" t="str">
        <f aca="false">IF(G120="","",G120-N(H120)-N(J120))</f>
        <v/>
      </c>
      <c r="L120" s="9"/>
      <c r="M120" s="9"/>
      <c r="N120" s="10" t="str">
        <f aca="false">IF(G120="","",G120-N(L120)-N(M120))</f>
        <v/>
      </c>
      <c r="O120" s="8"/>
      <c r="P120" s="7"/>
    </row>
    <row r="121" customFormat="false" ht="15" hidden="false" customHeight="false" outlineLevel="0" collapsed="false">
      <c r="A121" s="7"/>
      <c r="B121" s="8"/>
      <c r="C121" s="7"/>
      <c r="D121" s="7"/>
      <c r="E121" s="7"/>
      <c r="F121" s="7"/>
      <c r="G121" s="9"/>
      <c r="H121" s="9"/>
      <c r="I121" s="7"/>
      <c r="J121" s="10" t="str">
        <f aca="false">IF(I121="","",I121*'Start here'!$B$11)</f>
        <v/>
      </c>
      <c r="K121" s="10" t="str">
        <f aca="false">IF(G121="","",G121-N(H121)-N(J121))</f>
        <v/>
      </c>
      <c r="L121" s="9"/>
      <c r="M121" s="9"/>
      <c r="N121" s="10" t="str">
        <f aca="false">IF(G121="","",G121-N(L121)-N(M121))</f>
        <v/>
      </c>
      <c r="O121" s="8"/>
      <c r="P121" s="7"/>
    </row>
    <row r="122" customFormat="false" ht="15" hidden="false" customHeight="false" outlineLevel="0" collapsed="false">
      <c r="A122" s="7"/>
      <c r="B122" s="8"/>
      <c r="C122" s="7"/>
      <c r="D122" s="7"/>
      <c r="E122" s="7"/>
      <c r="F122" s="7"/>
      <c r="G122" s="9"/>
      <c r="H122" s="9"/>
      <c r="I122" s="7"/>
      <c r="J122" s="10" t="str">
        <f aca="false">IF(I122="","",I122*'Start here'!$B$11)</f>
        <v/>
      </c>
      <c r="K122" s="10" t="str">
        <f aca="false">IF(G122="","",G122-N(H122)-N(J122))</f>
        <v/>
      </c>
      <c r="L122" s="9"/>
      <c r="M122" s="9"/>
      <c r="N122" s="10" t="str">
        <f aca="false">IF(G122="","",G122-N(L122)-N(M122))</f>
        <v/>
      </c>
      <c r="O122" s="8"/>
      <c r="P122" s="7"/>
    </row>
    <row r="123" customFormat="false" ht="15" hidden="false" customHeight="false" outlineLevel="0" collapsed="false">
      <c r="A123" s="7"/>
      <c r="B123" s="8"/>
      <c r="C123" s="7"/>
      <c r="D123" s="7"/>
      <c r="E123" s="7"/>
      <c r="F123" s="7"/>
      <c r="G123" s="9"/>
      <c r="H123" s="9"/>
      <c r="I123" s="7"/>
      <c r="J123" s="10" t="str">
        <f aca="false">IF(I123="","",I123*'Start here'!$B$11)</f>
        <v/>
      </c>
      <c r="K123" s="10" t="str">
        <f aca="false">IF(G123="","",G123-N(H123)-N(J123))</f>
        <v/>
      </c>
      <c r="L123" s="9"/>
      <c r="M123" s="9"/>
      <c r="N123" s="10" t="str">
        <f aca="false">IF(G123="","",G123-N(L123)-N(M123))</f>
        <v/>
      </c>
      <c r="O123" s="8"/>
      <c r="P123" s="7"/>
    </row>
    <row r="124" customFormat="false" ht="15" hidden="false" customHeight="false" outlineLevel="0" collapsed="false">
      <c r="A124" s="7"/>
      <c r="B124" s="8"/>
      <c r="C124" s="7"/>
      <c r="D124" s="7"/>
      <c r="E124" s="7"/>
      <c r="F124" s="7"/>
      <c r="G124" s="9"/>
      <c r="H124" s="9"/>
      <c r="I124" s="7"/>
      <c r="J124" s="10" t="str">
        <f aca="false">IF(I124="","",I124*'Start here'!$B$11)</f>
        <v/>
      </c>
      <c r="K124" s="10" t="str">
        <f aca="false">IF(G124="","",G124-N(H124)-N(J124))</f>
        <v/>
      </c>
      <c r="L124" s="9"/>
      <c r="M124" s="9"/>
      <c r="N124" s="10" t="str">
        <f aca="false">IF(G124="","",G124-N(L124)-N(M124))</f>
        <v/>
      </c>
      <c r="O124" s="8"/>
      <c r="P124" s="7"/>
    </row>
    <row r="125" customFormat="false" ht="15" hidden="false" customHeight="false" outlineLevel="0" collapsed="false">
      <c r="A125" s="7"/>
      <c r="B125" s="8"/>
      <c r="C125" s="7"/>
      <c r="D125" s="7"/>
      <c r="E125" s="7"/>
      <c r="F125" s="7"/>
      <c r="G125" s="9"/>
      <c r="H125" s="9"/>
      <c r="I125" s="7"/>
      <c r="J125" s="10" t="str">
        <f aca="false">IF(I125="","",I125*'Start here'!$B$11)</f>
        <v/>
      </c>
      <c r="K125" s="10" t="str">
        <f aca="false">IF(G125="","",G125-N(H125)-N(J125))</f>
        <v/>
      </c>
      <c r="L125" s="9"/>
      <c r="M125" s="9"/>
      <c r="N125" s="10" t="str">
        <f aca="false">IF(G125="","",G125-N(L125)-N(M125))</f>
        <v/>
      </c>
      <c r="O125" s="8"/>
      <c r="P125" s="7"/>
    </row>
    <row r="126" customFormat="false" ht="15" hidden="false" customHeight="false" outlineLevel="0" collapsed="false">
      <c r="A126" s="7"/>
      <c r="B126" s="8"/>
      <c r="C126" s="7"/>
      <c r="D126" s="7"/>
      <c r="E126" s="7"/>
      <c r="F126" s="7"/>
      <c r="G126" s="9"/>
      <c r="H126" s="9"/>
      <c r="I126" s="7"/>
      <c r="J126" s="10" t="str">
        <f aca="false">IF(I126="","",I126*'Start here'!$B$11)</f>
        <v/>
      </c>
      <c r="K126" s="10" t="str">
        <f aca="false">IF(G126="","",G126-N(H126)-N(J126))</f>
        <v/>
      </c>
      <c r="L126" s="9"/>
      <c r="M126" s="9"/>
      <c r="N126" s="10" t="str">
        <f aca="false">IF(G126="","",G126-N(L126)-N(M126))</f>
        <v/>
      </c>
      <c r="O126" s="8"/>
      <c r="P126" s="7"/>
    </row>
    <row r="127" customFormat="false" ht="15" hidden="false" customHeight="false" outlineLevel="0" collapsed="false">
      <c r="A127" s="7"/>
      <c r="B127" s="8"/>
      <c r="C127" s="7"/>
      <c r="D127" s="7"/>
      <c r="E127" s="7"/>
      <c r="F127" s="7"/>
      <c r="G127" s="9"/>
      <c r="H127" s="9"/>
      <c r="I127" s="7"/>
      <c r="J127" s="10" t="str">
        <f aca="false">IF(I127="","",I127*'Start here'!$B$11)</f>
        <v/>
      </c>
      <c r="K127" s="10" t="str">
        <f aca="false">IF(G127="","",G127-N(H127)-N(J127))</f>
        <v/>
      </c>
      <c r="L127" s="9"/>
      <c r="M127" s="9"/>
      <c r="N127" s="10" t="str">
        <f aca="false">IF(G127="","",G127-N(L127)-N(M127))</f>
        <v/>
      </c>
      <c r="O127" s="8"/>
      <c r="P127" s="7"/>
    </row>
    <row r="128" customFormat="false" ht="15" hidden="false" customHeight="false" outlineLevel="0" collapsed="false">
      <c r="A128" s="7"/>
      <c r="B128" s="8"/>
      <c r="C128" s="7"/>
      <c r="D128" s="7"/>
      <c r="E128" s="7"/>
      <c r="F128" s="7"/>
      <c r="G128" s="9"/>
      <c r="H128" s="9"/>
      <c r="I128" s="7"/>
      <c r="J128" s="10" t="str">
        <f aca="false">IF(I128="","",I128*'Start here'!$B$11)</f>
        <v/>
      </c>
      <c r="K128" s="10" t="str">
        <f aca="false">IF(G128="","",G128-N(H128)-N(J128))</f>
        <v/>
      </c>
      <c r="L128" s="9"/>
      <c r="M128" s="9"/>
      <c r="N128" s="10" t="str">
        <f aca="false">IF(G128="","",G128-N(L128)-N(M128))</f>
        <v/>
      </c>
      <c r="O128" s="8"/>
      <c r="P128" s="7"/>
    </row>
    <row r="129" customFormat="false" ht="15" hidden="false" customHeight="false" outlineLevel="0" collapsed="false">
      <c r="A129" s="7"/>
      <c r="B129" s="8"/>
      <c r="C129" s="7"/>
      <c r="D129" s="7"/>
      <c r="E129" s="7"/>
      <c r="F129" s="7"/>
      <c r="G129" s="9"/>
      <c r="H129" s="9"/>
      <c r="I129" s="7"/>
      <c r="J129" s="10" t="str">
        <f aca="false">IF(I129="","",I129*'Start here'!$B$11)</f>
        <v/>
      </c>
      <c r="K129" s="10" t="str">
        <f aca="false">IF(G129="","",G129-N(H129)-N(J129))</f>
        <v/>
      </c>
      <c r="L129" s="9"/>
      <c r="M129" s="9"/>
      <c r="N129" s="10" t="str">
        <f aca="false">IF(G129="","",G129-N(L129)-N(M129))</f>
        <v/>
      </c>
      <c r="O129" s="8"/>
      <c r="P129" s="7"/>
    </row>
    <row r="130" customFormat="false" ht="15" hidden="false" customHeight="false" outlineLevel="0" collapsed="false">
      <c r="A130" s="7"/>
      <c r="B130" s="8"/>
      <c r="C130" s="7"/>
      <c r="D130" s="7"/>
      <c r="E130" s="7"/>
      <c r="F130" s="7"/>
      <c r="G130" s="9"/>
      <c r="H130" s="9"/>
      <c r="I130" s="7"/>
      <c r="J130" s="10" t="str">
        <f aca="false">IF(I130="","",I130*'Start here'!$B$11)</f>
        <v/>
      </c>
      <c r="K130" s="10" t="str">
        <f aca="false">IF(G130="","",G130-N(H130)-N(J130))</f>
        <v/>
      </c>
      <c r="L130" s="9"/>
      <c r="M130" s="9"/>
      <c r="N130" s="10" t="str">
        <f aca="false">IF(G130="","",G130-N(L130)-N(M130))</f>
        <v/>
      </c>
      <c r="O130" s="8"/>
      <c r="P130" s="7"/>
    </row>
    <row r="131" customFormat="false" ht="15" hidden="false" customHeight="false" outlineLevel="0" collapsed="false">
      <c r="A131" s="7"/>
      <c r="B131" s="8"/>
      <c r="C131" s="7"/>
      <c r="D131" s="7"/>
      <c r="E131" s="7"/>
      <c r="F131" s="7"/>
      <c r="G131" s="9"/>
      <c r="H131" s="9"/>
      <c r="I131" s="7"/>
      <c r="J131" s="10" t="str">
        <f aca="false">IF(I131="","",I131*'Start here'!$B$11)</f>
        <v/>
      </c>
      <c r="K131" s="10" t="str">
        <f aca="false">IF(G131="","",G131-N(H131)-N(J131))</f>
        <v/>
      </c>
      <c r="L131" s="9"/>
      <c r="M131" s="9"/>
      <c r="N131" s="10" t="str">
        <f aca="false">IF(G131="","",G131-N(L131)-N(M131))</f>
        <v/>
      </c>
      <c r="O131" s="8"/>
      <c r="P131" s="7"/>
    </row>
    <row r="132" customFormat="false" ht="15" hidden="false" customHeight="false" outlineLevel="0" collapsed="false">
      <c r="A132" s="7"/>
      <c r="B132" s="8"/>
      <c r="C132" s="7"/>
      <c r="D132" s="7"/>
      <c r="E132" s="7"/>
      <c r="F132" s="7"/>
      <c r="G132" s="9"/>
      <c r="H132" s="9"/>
      <c r="I132" s="7"/>
      <c r="J132" s="10" t="str">
        <f aca="false">IF(I132="","",I132*'Start here'!$B$11)</f>
        <v/>
      </c>
      <c r="K132" s="10" t="str">
        <f aca="false">IF(G132="","",G132-N(H132)-N(J132))</f>
        <v/>
      </c>
      <c r="L132" s="9"/>
      <c r="M132" s="9"/>
      <c r="N132" s="10" t="str">
        <f aca="false">IF(G132="","",G132-N(L132)-N(M132))</f>
        <v/>
      </c>
      <c r="O132" s="8"/>
      <c r="P132" s="7"/>
    </row>
    <row r="133" customFormat="false" ht="15" hidden="false" customHeight="false" outlineLevel="0" collapsed="false">
      <c r="A133" s="7"/>
      <c r="B133" s="8"/>
      <c r="C133" s="7"/>
      <c r="D133" s="7"/>
      <c r="E133" s="7"/>
      <c r="F133" s="7"/>
      <c r="G133" s="9"/>
      <c r="H133" s="9"/>
      <c r="I133" s="7"/>
      <c r="J133" s="10" t="str">
        <f aca="false">IF(I133="","",I133*'Start here'!$B$11)</f>
        <v/>
      </c>
      <c r="K133" s="10" t="str">
        <f aca="false">IF(G133="","",G133-N(H133)-N(J133))</f>
        <v/>
      </c>
      <c r="L133" s="9"/>
      <c r="M133" s="9"/>
      <c r="N133" s="10" t="str">
        <f aca="false">IF(G133="","",G133-N(L133)-N(M133))</f>
        <v/>
      </c>
      <c r="O133" s="8"/>
      <c r="P133" s="7"/>
    </row>
    <row r="134" customFormat="false" ht="15" hidden="false" customHeight="false" outlineLevel="0" collapsed="false">
      <c r="A134" s="7"/>
      <c r="B134" s="8"/>
      <c r="C134" s="7"/>
      <c r="D134" s="7"/>
      <c r="E134" s="7"/>
      <c r="F134" s="7"/>
      <c r="G134" s="9"/>
      <c r="H134" s="9"/>
      <c r="I134" s="7"/>
      <c r="J134" s="10" t="str">
        <f aca="false">IF(I134="","",I134*'Start here'!$B$11)</f>
        <v/>
      </c>
      <c r="K134" s="10" t="str">
        <f aca="false">IF(G134="","",G134-N(H134)-N(J134))</f>
        <v/>
      </c>
      <c r="L134" s="9"/>
      <c r="M134" s="9"/>
      <c r="N134" s="10" t="str">
        <f aca="false">IF(G134="","",G134-N(L134)-N(M134))</f>
        <v/>
      </c>
      <c r="O134" s="8"/>
      <c r="P134" s="7"/>
    </row>
    <row r="135" customFormat="false" ht="15" hidden="false" customHeight="false" outlineLevel="0" collapsed="false">
      <c r="A135" s="7"/>
      <c r="B135" s="8"/>
      <c r="C135" s="7"/>
      <c r="D135" s="7"/>
      <c r="E135" s="7"/>
      <c r="F135" s="7"/>
      <c r="G135" s="9"/>
      <c r="H135" s="9"/>
      <c r="I135" s="7"/>
      <c r="J135" s="10" t="str">
        <f aca="false">IF(I135="","",I135*'Start here'!$B$11)</f>
        <v/>
      </c>
      <c r="K135" s="10" t="str">
        <f aca="false">IF(G135="","",G135-N(H135)-N(J135))</f>
        <v/>
      </c>
      <c r="L135" s="9"/>
      <c r="M135" s="9"/>
      <c r="N135" s="10" t="str">
        <f aca="false">IF(G135="","",G135-N(L135)-N(M135))</f>
        <v/>
      </c>
      <c r="O135" s="8"/>
      <c r="P135" s="7"/>
    </row>
    <row r="136" customFormat="false" ht="15" hidden="false" customHeight="false" outlineLevel="0" collapsed="false">
      <c r="A136" s="7"/>
      <c r="B136" s="8"/>
      <c r="C136" s="7"/>
      <c r="D136" s="7"/>
      <c r="E136" s="7"/>
      <c r="F136" s="7"/>
      <c r="G136" s="9"/>
      <c r="H136" s="9"/>
      <c r="I136" s="7"/>
      <c r="J136" s="10" t="str">
        <f aca="false">IF(I136="","",I136*'Start here'!$B$11)</f>
        <v/>
      </c>
      <c r="K136" s="10" t="str">
        <f aca="false">IF(G136="","",G136-N(H136)-N(J136))</f>
        <v/>
      </c>
      <c r="L136" s="9"/>
      <c r="M136" s="9"/>
      <c r="N136" s="10" t="str">
        <f aca="false">IF(G136="","",G136-N(L136)-N(M136))</f>
        <v/>
      </c>
      <c r="O136" s="8"/>
      <c r="P136" s="7"/>
    </row>
    <row r="137" customFormat="false" ht="15" hidden="false" customHeight="false" outlineLevel="0" collapsed="false">
      <c r="A137" s="7"/>
      <c r="B137" s="8"/>
      <c r="C137" s="7"/>
      <c r="D137" s="7"/>
      <c r="E137" s="7"/>
      <c r="F137" s="7"/>
      <c r="G137" s="9"/>
      <c r="H137" s="9"/>
      <c r="I137" s="7"/>
      <c r="J137" s="10" t="str">
        <f aca="false">IF(I137="","",I137*'Start here'!$B$11)</f>
        <v/>
      </c>
      <c r="K137" s="10" t="str">
        <f aca="false">IF(G137="","",G137-N(H137)-N(J137))</f>
        <v/>
      </c>
      <c r="L137" s="9"/>
      <c r="M137" s="9"/>
      <c r="N137" s="10" t="str">
        <f aca="false">IF(G137="","",G137-N(L137)-N(M137))</f>
        <v/>
      </c>
      <c r="O137" s="8"/>
      <c r="P137" s="7"/>
    </row>
    <row r="138" customFormat="false" ht="15" hidden="false" customHeight="false" outlineLevel="0" collapsed="false">
      <c r="A138" s="7"/>
      <c r="B138" s="8"/>
      <c r="C138" s="7"/>
      <c r="D138" s="7"/>
      <c r="E138" s="7"/>
      <c r="F138" s="7"/>
      <c r="G138" s="9"/>
      <c r="H138" s="9"/>
      <c r="I138" s="7"/>
      <c r="J138" s="10" t="str">
        <f aca="false">IF(I138="","",I138*'Start here'!$B$11)</f>
        <v/>
      </c>
      <c r="K138" s="10" t="str">
        <f aca="false">IF(G138="","",G138-N(H138)-N(J138))</f>
        <v/>
      </c>
      <c r="L138" s="9"/>
      <c r="M138" s="9"/>
      <c r="N138" s="10" t="str">
        <f aca="false">IF(G138="","",G138-N(L138)-N(M138))</f>
        <v/>
      </c>
      <c r="O138" s="8"/>
      <c r="P138" s="7"/>
    </row>
    <row r="139" customFormat="false" ht="15" hidden="false" customHeight="false" outlineLevel="0" collapsed="false">
      <c r="A139" s="7"/>
      <c r="B139" s="8"/>
      <c r="C139" s="7"/>
      <c r="D139" s="7"/>
      <c r="E139" s="7"/>
      <c r="F139" s="7"/>
      <c r="G139" s="9"/>
      <c r="H139" s="9"/>
      <c r="I139" s="7"/>
      <c r="J139" s="10" t="str">
        <f aca="false">IF(I139="","",I139*'Start here'!$B$11)</f>
        <v/>
      </c>
      <c r="K139" s="10" t="str">
        <f aca="false">IF(G139="","",G139-N(H139)-N(J139))</f>
        <v/>
      </c>
      <c r="L139" s="9"/>
      <c r="M139" s="9"/>
      <c r="N139" s="10" t="str">
        <f aca="false">IF(G139="","",G139-N(L139)-N(M139))</f>
        <v/>
      </c>
      <c r="O139" s="8"/>
      <c r="P139" s="7"/>
    </row>
    <row r="140" customFormat="false" ht="15" hidden="false" customHeight="false" outlineLevel="0" collapsed="false">
      <c r="A140" s="7"/>
      <c r="B140" s="8"/>
      <c r="C140" s="7"/>
      <c r="D140" s="7"/>
      <c r="E140" s="7"/>
      <c r="F140" s="7"/>
      <c r="G140" s="9"/>
      <c r="H140" s="9"/>
      <c r="I140" s="7"/>
      <c r="J140" s="10" t="str">
        <f aca="false">IF(I140="","",I140*'Start here'!$B$11)</f>
        <v/>
      </c>
      <c r="K140" s="10" t="str">
        <f aca="false">IF(G140="","",G140-N(H140)-N(J140))</f>
        <v/>
      </c>
      <c r="L140" s="9"/>
      <c r="M140" s="9"/>
      <c r="N140" s="10" t="str">
        <f aca="false">IF(G140="","",G140-N(L140)-N(M140))</f>
        <v/>
      </c>
      <c r="O140" s="8"/>
      <c r="P140" s="7"/>
    </row>
    <row r="141" customFormat="false" ht="15" hidden="false" customHeight="false" outlineLevel="0" collapsed="false">
      <c r="A141" s="7"/>
      <c r="B141" s="8"/>
      <c r="C141" s="7"/>
      <c r="D141" s="7"/>
      <c r="E141" s="7"/>
      <c r="F141" s="7"/>
      <c r="G141" s="9"/>
      <c r="H141" s="9"/>
      <c r="I141" s="7"/>
      <c r="J141" s="10" t="str">
        <f aca="false">IF(I141="","",I141*'Start here'!$B$11)</f>
        <v/>
      </c>
      <c r="K141" s="10" t="str">
        <f aca="false">IF(G141="","",G141-N(H141)-N(J141))</f>
        <v/>
      </c>
      <c r="L141" s="9"/>
      <c r="M141" s="9"/>
      <c r="N141" s="10" t="str">
        <f aca="false">IF(G141="","",G141-N(L141)-N(M141))</f>
        <v/>
      </c>
      <c r="O141" s="8"/>
      <c r="P141" s="7"/>
    </row>
    <row r="142" customFormat="false" ht="15" hidden="false" customHeight="false" outlineLevel="0" collapsed="false">
      <c r="A142" s="7"/>
      <c r="B142" s="8"/>
      <c r="C142" s="7"/>
      <c r="D142" s="7"/>
      <c r="E142" s="7"/>
      <c r="F142" s="7"/>
      <c r="G142" s="9"/>
      <c r="H142" s="9"/>
      <c r="I142" s="7"/>
      <c r="J142" s="10" t="str">
        <f aca="false">IF(I142="","",I142*'Start here'!$B$11)</f>
        <v/>
      </c>
      <c r="K142" s="10" t="str">
        <f aca="false">IF(G142="","",G142-N(H142)-N(J142))</f>
        <v/>
      </c>
      <c r="L142" s="9"/>
      <c r="M142" s="9"/>
      <c r="N142" s="10" t="str">
        <f aca="false">IF(G142="","",G142-N(L142)-N(M142))</f>
        <v/>
      </c>
      <c r="O142" s="8"/>
      <c r="P142" s="7"/>
    </row>
    <row r="143" customFormat="false" ht="15" hidden="false" customHeight="false" outlineLevel="0" collapsed="false">
      <c r="A143" s="7"/>
      <c r="B143" s="8"/>
      <c r="C143" s="7"/>
      <c r="D143" s="7"/>
      <c r="E143" s="7"/>
      <c r="F143" s="7"/>
      <c r="G143" s="9"/>
      <c r="H143" s="9"/>
      <c r="I143" s="7"/>
      <c r="J143" s="10" t="str">
        <f aca="false">IF(I143="","",I143*'Start here'!$B$11)</f>
        <v/>
      </c>
      <c r="K143" s="10" t="str">
        <f aca="false">IF(G143="","",G143-N(H143)-N(J143))</f>
        <v/>
      </c>
      <c r="L143" s="9"/>
      <c r="M143" s="9"/>
      <c r="N143" s="10" t="str">
        <f aca="false">IF(G143="","",G143-N(L143)-N(M143))</f>
        <v/>
      </c>
      <c r="O143" s="8"/>
      <c r="P143" s="7"/>
    </row>
    <row r="144" customFormat="false" ht="15" hidden="false" customHeight="false" outlineLevel="0" collapsed="false">
      <c r="A144" s="7"/>
      <c r="B144" s="8"/>
      <c r="C144" s="7"/>
      <c r="D144" s="7"/>
      <c r="E144" s="7"/>
      <c r="F144" s="7"/>
      <c r="G144" s="9"/>
      <c r="H144" s="9"/>
      <c r="I144" s="7"/>
      <c r="J144" s="10" t="str">
        <f aca="false">IF(I144="","",I144*'Start here'!$B$11)</f>
        <v/>
      </c>
      <c r="K144" s="10" t="str">
        <f aca="false">IF(G144="","",G144-N(H144)-N(J144))</f>
        <v/>
      </c>
      <c r="L144" s="9"/>
      <c r="M144" s="9"/>
      <c r="N144" s="10" t="str">
        <f aca="false">IF(G144="","",G144-N(L144)-N(M144))</f>
        <v/>
      </c>
      <c r="O144" s="8"/>
      <c r="P144" s="7"/>
    </row>
    <row r="145" customFormat="false" ht="15" hidden="false" customHeight="false" outlineLevel="0" collapsed="false">
      <c r="A145" s="7"/>
      <c r="B145" s="8"/>
      <c r="C145" s="7"/>
      <c r="D145" s="7"/>
      <c r="E145" s="7"/>
      <c r="F145" s="7"/>
      <c r="G145" s="9"/>
      <c r="H145" s="9"/>
      <c r="I145" s="7"/>
      <c r="J145" s="10" t="str">
        <f aca="false">IF(I145="","",I145*'Start here'!$B$11)</f>
        <v/>
      </c>
      <c r="K145" s="10" t="str">
        <f aca="false">IF(G145="","",G145-N(H145)-N(J145))</f>
        <v/>
      </c>
      <c r="L145" s="9"/>
      <c r="M145" s="9"/>
      <c r="N145" s="10" t="str">
        <f aca="false">IF(G145="","",G145-N(L145)-N(M145))</f>
        <v/>
      </c>
      <c r="O145" s="8"/>
      <c r="P145" s="7"/>
    </row>
    <row r="146" customFormat="false" ht="15" hidden="false" customHeight="false" outlineLevel="0" collapsed="false">
      <c r="A146" s="7"/>
      <c r="B146" s="8"/>
      <c r="C146" s="7"/>
      <c r="D146" s="7"/>
      <c r="E146" s="7"/>
      <c r="F146" s="7"/>
      <c r="G146" s="9"/>
      <c r="H146" s="9"/>
      <c r="I146" s="7"/>
      <c r="J146" s="10" t="str">
        <f aca="false">IF(I146="","",I146*'Start here'!$B$11)</f>
        <v/>
      </c>
      <c r="K146" s="10" t="str">
        <f aca="false">IF(G146="","",G146-N(H146)-N(J146))</f>
        <v/>
      </c>
      <c r="L146" s="9"/>
      <c r="M146" s="9"/>
      <c r="N146" s="10" t="str">
        <f aca="false">IF(G146="","",G146-N(L146)-N(M146))</f>
        <v/>
      </c>
      <c r="O146" s="8"/>
      <c r="P146" s="7"/>
    </row>
    <row r="147" customFormat="false" ht="15" hidden="false" customHeight="false" outlineLevel="0" collapsed="false">
      <c r="A147" s="7"/>
      <c r="B147" s="8"/>
      <c r="C147" s="7"/>
      <c r="D147" s="7"/>
      <c r="E147" s="7"/>
      <c r="F147" s="7"/>
      <c r="G147" s="9"/>
      <c r="H147" s="9"/>
      <c r="I147" s="7"/>
      <c r="J147" s="10" t="str">
        <f aca="false">IF(I147="","",I147*'Start here'!$B$11)</f>
        <v/>
      </c>
      <c r="K147" s="10" t="str">
        <f aca="false">IF(G147="","",G147-N(H147)-N(J147))</f>
        <v/>
      </c>
      <c r="L147" s="9"/>
      <c r="M147" s="9"/>
      <c r="N147" s="10" t="str">
        <f aca="false">IF(G147="","",G147-N(L147)-N(M147))</f>
        <v/>
      </c>
      <c r="O147" s="8"/>
      <c r="P147" s="7"/>
    </row>
    <row r="148" customFormat="false" ht="15" hidden="false" customHeight="false" outlineLevel="0" collapsed="false">
      <c r="A148" s="7"/>
      <c r="B148" s="8"/>
      <c r="C148" s="7"/>
      <c r="D148" s="7"/>
      <c r="E148" s="7"/>
      <c r="F148" s="7"/>
      <c r="G148" s="9"/>
      <c r="H148" s="9"/>
      <c r="I148" s="7"/>
      <c r="J148" s="10" t="str">
        <f aca="false">IF(I148="","",I148*'Start here'!$B$11)</f>
        <v/>
      </c>
      <c r="K148" s="10" t="str">
        <f aca="false">IF(G148="","",G148-N(H148)-N(J148))</f>
        <v/>
      </c>
      <c r="L148" s="9"/>
      <c r="M148" s="9"/>
      <c r="N148" s="10" t="str">
        <f aca="false">IF(G148="","",G148-N(L148)-N(M148))</f>
        <v/>
      </c>
      <c r="O148" s="8"/>
      <c r="P148" s="7"/>
    </row>
    <row r="149" customFormat="false" ht="15" hidden="false" customHeight="false" outlineLevel="0" collapsed="false">
      <c r="A149" s="7"/>
      <c r="B149" s="8"/>
      <c r="C149" s="7"/>
      <c r="D149" s="7"/>
      <c r="E149" s="7"/>
      <c r="F149" s="7"/>
      <c r="G149" s="9"/>
      <c r="H149" s="9"/>
      <c r="I149" s="7"/>
      <c r="J149" s="10" t="str">
        <f aca="false">IF(I149="","",I149*'Start here'!$B$11)</f>
        <v/>
      </c>
      <c r="K149" s="10" t="str">
        <f aca="false">IF(G149="","",G149-N(H149)-N(J149))</f>
        <v/>
      </c>
      <c r="L149" s="9"/>
      <c r="M149" s="9"/>
      <c r="N149" s="10" t="str">
        <f aca="false">IF(G149="","",G149-N(L149)-N(M149))</f>
        <v/>
      </c>
      <c r="O149" s="8"/>
      <c r="P149" s="7"/>
    </row>
    <row r="150" customFormat="false" ht="15" hidden="false" customHeight="false" outlineLevel="0" collapsed="false">
      <c r="A150" s="7"/>
      <c r="B150" s="8"/>
      <c r="C150" s="7"/>
      <c r="D150" s="7"/>
      <c r="E150" s="7"/>
      <c r="F150" s="7"/>
      <c r="G150" s="9"/>
      <c r="H150" s="9"/>
      <c r="I150" s="7"/>
      <c r="J150" s="10" t="str">
        <f aca="false">IF(I150="","",I150*'Start here'!$B$11)</f>
        <v/>
      </c>
      <c r="K150" s="10" t="str">
        <f aca="false">IF(G150="","",G150-N(H150)-N(J150))</f>
        <v/>
      </c>
      <c r="L150" s="9"/>
      <c r="M150" s="9"/>
      <c r="N150" s="10" t="str">
        <f aca="false">IF(G150="","",G150-N(L150)-N(M150))</f>
        <v/>
      </c>
      <c r="O150" s="8"/>
      <c r="P150" s="7"/>
    </row>
    <row r="151" customFormat="false" ht="15" hidden="false" customHeight="false" outlineLevel="0" collapsed="false">
      <c r="A151" s="7"/>
      <c r="B151" s="8"/>
      <c r="C151" s="7"/>
      <c r="D151" s="7"/>
      <c r="E151" s="7"/>
      <c r="F151" s="7"/>
      <c r="G151" s="9"/>
      <c r="H151" s="9"/>
      <c r="I151" s="7"/>
      <c r="J151" s="10" t="str">
        <f aca="false">IF(I151="","",I151*'Start here'!$B$11)</f>
        <v/>
      </c>
      <c r="K151" s="10" t="str">
        <f aca="false">IF(G151="","",G151-N(H151)-N(J151))</f>
        <v/>
      </c>
      <c r="L151" s="9"/>
      <c r="M151" s="9"/>
      <c r="N151" s="10" t="str">
        <f aca="false">IF(G151="","",G151-N(L151)-N(M151))</f>
        <v/>
      </c>
      <c r="O151" s="8"/>
      <c r="P151" s="7"/>
    </row>
    <row r="152" customFormat="false" ht="15" hidden="false" customHeight="false" outlineLevel="0" collapsed="false">
      <c r="A152" s="7"/>
      <c r="B152" s="8"/>
      <c r="C152" s="7"/>
      <c r="D152" s="7"/>
      <c r="E152" s="7"/>
      <c r="F152" s="7"/>
      <c r="G152" s="9"/>
      <c r="H152" s="9"/>
      <c r="I152" s="7"/>
      <c r="J152" s="10" t="str">
        <f aca="false">IF(I152="","",I152*'Start here'!$B$11)</f>
        <v/>
      </c>
      <c r="K152" s="10" t="str">
        <f aca="false">IF(G152="","",G152-N(H152)-N(J152))</f>
        <v/>
      </c>
      <c r="L152" s="9"/>
      <c r="M152" s="9"/>
      <c r="N152" s="10" t="str">
        <f aca="false">IF(G152="","",G152-N(L152)-N(M152))</f>
        <v/>
      </c>
      <c r="O152" s="8"/>
      <c r="P152" s="7"/>
    </row>
    <row r="153" customFormat="false" ht="15" hidden="false" customHeight="false" outlineLevel="0" collapsed="false">
      <c r="A153" s="7"/>
      <c r="B153" s="8"/>
      <c r="C153" s="7"/>
      <c r="D153" s="7"/>
      <c r="E153" s="7"/>
      <c r="F153" s="7"/>
      <c r="G153" s="9"/>
      <c r="H153" s="9"/>
      <c r="I153" s="7"/>
      <c r="J153" s="10" t="str">
        <f aca="false">IF(I153="","",I153*'Start here'!$B$11)</f>
        <v/>
      </c>
      <c r="K153" s="10" t="str">
        <f aca="false">IF(G153="","",G153-N(H153)-N(J153))</f>
        <v/>
      </c>
      <c r="L153" s="9"/>
      <c r="M153" s="9"/>
      <c r="N153" s="10" t="str">
        <f aca="false">IF(G153="","",G153-N(L153)-N(M153))</f>
        <v/>
      </c>
      <c r="O153" s="8"/>
      <c r="P153" s="7"/>
    </row>
    <row r="154" customFormat="false" ht="15" hidden="false" customHeight="false" outlineLevel="0" collapsed="false">
      <c r="A154" s="7"/>
      <c r="B154" s="8"/>
      <c r="C154" s="7"/>
      <c r="D154" s="7"/>
      <c r="E154" s="7"/>
      <c r="F154" s="7"/>
      <c r="G154" s="9"/>
      <c r="H154" s="9"/>
      <c r="I154" s="7"/>
      <c r="J154" s="10" t="str">
        <f aca="false">IF(I154="","",I154*'Start here'!$B$11)</f>
        <v/>
      </c>
      <c r="K154" s="10" t="str">
        <f aca="false">IF(G154="","",G154-N(H154)-N(J154))</f>
        <v/>
      </c>
      <c r="L154" s="9"/>
      <c r="M154" s="9"/>
      <c r="N154" s="10" t="str">
        <f aca="false">IF(G154="","",G154-N(L154)-N(M154))</f>
        <v/>
      </c>
      <c r="O154" s="8"/>
      <c r="P154" s="7"/>
    </row>
    <row r="155" customFormat="false" ht="15" hidden="false" customHeight="false" outlineLevel="0" collapsed="false">
      <c r="A155" s="7"/>
      <c r="B155" s="8"/>
      <c r="C155" s="7"/>
      <c r="D155" s="7"/>
      <c r="E155" s="7"/>
      <c r="F155" s="7"/>
      <c r="G155" s="9"/>
      <c r="H155" s="9"/>
      <c r="I155" s="7"/>
      <c r="J155" s="10" t="str">
        <f aca="false">IF(I155="","",I155*'Start here'!$B$11)</f>
        <v/>
      </c>
      <c r="K155" s="10" t="str">
        <f aca="false">IF(G155="","",G155-N(H155)-N(J155))</f>
        <v/>
      </c>
      <c r="L155" s="9"/>
      <c r="M155" s="9"/>
      <c r="N155" s="10" t="str">
        <f aca="false">IF(G155="","",G155-N(L155)-N(M155))</f>
        <v/>
      </c>
      <c r="O155" s="8"/>
      <c r="P155" s="7"/>
    </row>
    <row r="156" customFormat="false" ht="15" hidden="false" customHeight="false" outlineLevel="0" collapsed="false">
      <c r="A156" s="7"/>
      <c r="B156" s="8"/>
      <c r="C156" s="7"/>
      <c r="D156" s="7"/>
      <c r="E156" s="7"/>
      <c r="F156" s="7"/>
      <c r="G156" s="9"/>
      <c r="H156" s="9"/>
      <c r="I156" s="7"/>
      <c r="J156" s="10" t="str">
        <f aca="false">IF(I156="","",I156*'Start here'!$B$11)</f>
        <v/>
      </c>
      <c r="K156" s="10" t="str">
        <f aca="false">IF(G156="","",G156-N(H156)-N(J156))</f>
        <v/>
      </c>
      <c r="L156" s="9"/>
      <c r="M156" s="9"/>
      <c r="N156" s="10" t="str">
        <f aca="false">IF(G156="","",G156-N(L156)-N(M156))</f>
        <v/>
      </c>
      <c r="O156" s="8"/>
      <c r="P156" s="7"/>
    </row>
    <row r="157" customFormat="false" ht="15" hidden="false" customHeight="false" outlineLevel="0" collapsed="false">
      <c r="A157" s="7"/>
      <c r="B157" s="8"/>
      <c r="C157" s="7"/>
      <c r="D157" s="7"/>
      <c r="E157" s="7"/>
      <c r="F157" s="7"/>
      <c r="G157" s="9"/>
      <c r="H157" s="9"/>
      <c r="I157" s="7"/>
      <c r="J157" s="10" t="str">
        <f aca="false">IF(I157="","",I157*'Start here'!$B$11)</f>
        <v/>
      </c>
      <c r="K157" s="10" t="str">
        <f aca="false">IF(G157="","",G157-N(H157)-N(J157))</f>
        <v/>
      </c>
      <c r="L157" s="9"/>
      <c r="M157" s="9"/>
      <c r="N157" s="10" t="str">
        <f aca="false">IF(G157="","",G157-N(L157)-N(M157))</f>
        <v/>
      </c>
      <c r="O157" s="8"/>
      <c r="P157" s="7"/>
    </row>
    <row r="158" customFormat="false" ht="15" hidden="false" customHeight="false" outlineLevel="0" collapsed="false">
      <c r="A158" s="7"/>
      <c r="B158" s="8"/>
      <c r="C158" s="7"/>
      <c r="D158" s="7"/>
      <c r="E158" s="7"/>
      <c r="F158" s="7"/>
      <c r="G158" s="9"/>
      <c r="H158" s="9"/>
      <c r="I158" s="7"/>
      <c r="J158" s="10" t="str">
        <f aca="false">IF(I158="","",I158*'Start here'!$B$11)</f>
        <v/>
      </c>
      <c r="K158" s="10" t="str">
        <f aca="false">IF(G158="","",G158-N(H158)-N(J158))</f>
        <v/>
      </c>
      <c r="L158" s="9"/>
      <c r="M158" s="9"/>
      <c r="N158" s="10" t="str">
        <f aca="false">IF(G158="","",G158-N(L158)-N(M158))</f>
        <v/>
      </c>
      <c r="O158" s="8"/>
      <c r="P158" s="7"/>
    </row>
    <row r="159" customFormat="false" ht="15" hidden="false" customHeight="false" outlineLevel="0" collapsed="false">
      <c r="A159" s="7"/>
      <c r="B159" s="8"/>
      <c r="C159" s="7"/>
      <c r="D159" s="7"/>
      <c r="E159" s="7"/>
      <c r="F159" s="7"/>
      <c r="G159" s="9"/>
      <c r="H159" s="9"/>
      <c r="I159" s="7"/>
      <c r="J159" s="10" t="str">
        <f aca="false">IF(I159="","",I159*'Start here'!$B$11)</f>
        <v/>
      </c>
      <c r="K159" s="10" t="str">
        <f aca="false">IF(G159="","",G159-N(H159)-N(J159))</f>
        <v/>
      </c>
      <c r="L159" s="9"/>
      <c r="M159" s="9"/>
      <c r="N159" s="10" t="str">
        <f aca="false">IF(G159="","",G159-N(L159)-N(M159))</f>
        <v/>
      </c>
      <c r="O159" s="8"/>
      <c r="P159" s="7"/>
    </row>
    <row r="160" customFormat="false" ht="15" hidden="false" customHeight="false" outlineLevel="0" collapsed="false">
      <c r="A160" s="7"/>
      <c r="B160" s="8"/>
      <c r="C160" s="7"/>
      <c r="D160" s="7"/>
      <c r="E160" s="7"/>
      <c r="F160" s="7"/>
      <c r="G160" s="9"/>
      <c r="H160" s="9"/>
      <c r="I160" s="7"/>
      <c r="J160" s="10" t="str">
        <f aca="false">IF(I160="","",I160*'Start here'!$B$11)</f>
        <v/>
      </c>
      <c r="K160" s="10" t="str">
        <f aca="false">IF(G160="","",G160-N(H160)-N(J160))</f>
        <v/>
      </c>
      <c r="L160" s="9"/>
      <c r="M160" s="9"/>
      <c r="N160" s="10" t="str">
        <f aca="false">IF(G160="","",G160-N(L160)-N(M160))</f>
        <v/>
      </c>
      <c r="O160" s="8"/>
      <c r="P160" s="7"/>
    </row>
    <row r="161" customFormat="false" ht="15" hidden="false" customHeight="false" outlineLevel="0" collapsed="false">
      <c r="A161" s="7"/>
      <c r="B161" s="8"/>
      <c r="C161" s="7"/>
      <c r="D161" s="7"/>
      <c r="E161" s="7"/>
      <c r="F161" s="7"/>
      <c r="G161" s="9"/>
      <c r="H161" s="9"/>
      <c r="I161" s="7"/>
      <c r="J161" s="10" t="str">
        <f aca="false">IF(I161="","",I161*'Start here'!$B$11)</f>
        <v/>
      </c>
      <c r="K161" s="10" t="str">
        <f aca="false">IF(G161="","",G161-N(H161)-N(J161))</f>
        <v/>
      </c>
      <c r="L161" s="9"/>
      <c r="M161" s="9"/>
      <c r="N161" s="10" t="str">
        <f aca="false">IF(G161="","",G161-N(L161)-N(M161))</f>
        <v/>
      </c>
      <c r="O161" s="8"/>
      <c r="P161" s="7"/>
    </row>
    <row r="162" customFormat="false" ht="15" hidden="false" customHeight="false" outlineLevel="0" collapsed="false">
      <c r="A162" s="7"/>
      <c r="B162" s="8"/>
      <c r="C162" s="7"/>
      <c r="D162" s="7"/>
      <c r="E162" s="7"/>
      <c r="F162" s="7"/>
      <c r="G162" s="9"/>
      <c r="H162" s="9"/>
      <c r="I162" s="7"/>
      <c r="J162" s="10" t="str">
        <f aca="false">IF(I162="","",I162*'Start here'!$B$11)</f>
        <v/>
      </c>
      <c r="K162" s="10" t="str">
        <f aca="false">IF(G162="","",G162-N(H162)-N(J162))</f>
        <v/>
      </c>
      <c r="L162" s="9"/>
      <c r="M162" s="9"/>
      <c r="N162" s="10" t="str">
        <f aca="false">IF(G162="","",G162-N(L162)-N(M162))</f>
        <v/>
      </c>
      <c r="O162" s="8"/>
      <c r="P162" s="7"/>
    </row>
    <row r="163" customFormat="false" ht="15" hidden="false" customHeight="false" outlineLevel="0" collapsed="false">
      <c r="A163" s="7"/>
      <c r="B163" s="8"/>
      <c r="C163" s="7"/>
      <c r="D163" s="7"/>
      <c r="E163" s="7"/>
      <c r="F163" s="7"/>
      <c r="G163" s="9"/>
      <c r="H163" s="9"/>
      <c r="I163" s="7"/>
      <c r="J163" s="10" t="str">
        <f aca="false">IF(I163="","",I163*'Start here'!$B$11)</f>
        <v/>
      </c>
      <c r="K163" s="10" t="str">
        <f aca="false">IF(G163="","",G163-N(H163)-N(J163))</f>
        <v/>
      </c>
      <c r="L163" s="9"/>
      <c r="M163" s="9"/>
      <c r="N163" s="10" t="str">
        <f aca="false">IF(G163="","",G163-N(L163)-N(M163))</f>
        <v/>
      </c>
      <c r="O163" s="8"/>
      <c r="P163" s="7"/>
    </row>
    <row r="164" customFormat="false" ht="15" hidden="false" customHeight="false" outlineLevel="0" collapsed="false">
      <c r="A164" s="7"/>
      <c r="B164" s="8"/>
      <c r="C164" s="7"/>
      <c r="D164" s="7"/>
      <c r="E164" s="7"/>
      <c r="F164" s="7"/>
      <c r="G164" s="9"/>
      <c r="H164" s="9"/>
      <c r="I164" s="7"/>
      <c r="J164" s="10" t="str">
        <f aca="false">IF(I164="","",I164*'Start here'!$B$11)</f>
        <v/>
      </c>
      <c r="K164" s="10" t="str">
        <f aca="false">IF(G164="","",G164-N(H164)-N(J164))</f>
        <v/>
      </c>
      <c r="L164" s="9"/>
      <c r="M164" s="9"/>
      <c r="N164" s="10" t="str">
        <f aca="false">IF(G164="","",G164-N(L164)-N(M164))</f>
        <v/>
      </c>
      <c r="O164" s="8"/>
      <c r="P164" s="7"/>
    </row>
    <row r="165" customFormat="false" ht="15" hidden="false" customHeight="false" outlineLevel="0" collapsed="false">
      <c r="A165" s="7"/>
      <c r="B165" s="8"/>
      <c r="C165" s="7"/>
      <c r="D165" s="7"/>
      <c r="E165" s="7"/>
      <c r="F165" s="7"/>
      <c r="G165" s="9"/>
      <c r="H165" s="9"/>
      <c r="I165" s="7"/>
      <c r="J165" s="10" t="str">
        <f aca="false">IF(I165="","",I165*'Start here'!$B$11)</f>
        <v/>
      </c>
      <c r="K165" s="10" t="str">
        <f aca="false">IF(G165="","",G165-N(H165)-N(J165))</f>
        <v/>
      </c>
      <c r="L165" s="9"/>
      <c r="M165" s="9"/>
      <c r="N165" s="10" t="str">
        <f aca="false">IF(G165="","",G165-N(L165)-N(M165))</f>
        <v/>
      </c>
      <c r="O165" s="8"/>
      <c r="P165" s="7"/>
    </row>
    <row r="166" customFormat="false" ht="15" hidden="false" customHeight="false" outlineLevel="0" collapsed="false">
      <c r="A166" s="7"/>
      <c r="B166" s="8"/>
      <c r="C166" s="7"/>
      <c r="D166" s="7"/>
      <c r="E166" s="7"/>
      <c r="F166" s="7"/>
      <c r="G166" s="9"/>
      <c r="H166" s="9"/>
      <c r="I166" s="7"/>
      <c r="J166" s="10" t="str">
        <f aca="false">IF(I166="","",I166*'Start here'!$B$11)</f>
        <v/>
      </c>
      <c r="K166" s="10" t="str">
        <f aca="false">IF(G166="","",G166-N(H166)-N(J166))</f>
        <v/>
      </c>
      <c r="L166" s="9"/>
      <c r="M166" s="9"/>
      <c r="N166" s="10" t="str">
        <f aca="false">IF(G166="","",G166-N(L166)-N(M166))</f>
        <v/>
      </c>
      <c r="O166" s="8"/>
      <c r="P166" s="7"/>
    </row>
    <row r="167" customFormat="false" ht="15" hidden="false" customHeight="false" outlineLevel="0" collapsed="false">
      <c r="A167" s="7"/>
      <c r="B167" s="8"/>
      <c r="C167" s="7"/>
      <c r="D167" s="7"/>
      <c r="E167" s="7"/>
      <c r="F167" s="7"/>
      <c r="G167" s="9"/>
      <c r="H167" s="9"/>
      <c r="I167" s="7"/>
      <c r="J167" s="10" t="str">
        <f aca="false">IF(I167="","",I167*'Start here'!$B$11)</f>
        <v/>
      </c>
      <c r="K167" s="10" t="str">
        <f aca="false">IF(G167="","",G167-N(H167)-N(J167))</f>
        <v/>
      </c>
      <c r="L167" s="9"/>
      <c r="M167" s="9"/>
      <c r="N167" s="10" t="str">
        <f aca="false">IF(G167="","",G167-N(L167)-N(M167))</f>
        <v/>
      </c>
      <c r="O167" s="8"/>
      <c r="P167" s="7"/>
    </row>
    <row r="168" customFormat="false" ht="15" hidden="false" customHeight="false" outlineLevel="0" collapsed="false">
      <c r="A168" s="7"/>
      <c r="B168" s="8"/>
      <c r="C168" s="7"/>
      <c r="D168" s="7"/>
      <c r="E168" s="7"/>
      <c r="F168" s="7"/>
      <c r="G168" s="9"/>
      <c r="H168" s="9"/>
      <c r="I168" s="7"/>
      <c r="J168" s="10" t="str">
        <f aca="false">IF(I168="","",I168*'Start here'!$B$11)</f>
        <v/>
      </c>
      <c r="K168" s="10" t="str">
        <f aca="false">IF(G168="","",G168-N(H168)-N(J168))</f>
        <v/>
      </c>
      <c r="L168" s="9"/>
      <c r="M168" s="9"/>
      <c r="N168" s="10" t="str">
        <f aca="false">IF(G168="","",G168-N(L168)-N(M168))</f>
        <v/>
      </c>
      <c r="O168" s="8"/>
      <c r="P168" s="7"/>
    </row>
    <row r="169" customFormat="false" ht="15" hidden="false" customHeight="false" outlineLevel="0" collapsed="false">
      <c r="A169" s="7"/>
      <c r="B169" s="8"/>
      <c r="C169" s="7"/>
      <c r="D169" s="7"/>
      <c r="E169" s="7"/>
      <c r="F169" s="7"/>
      <c r="G169" s="9"/>
      <c r="H169" s="9"/>
      <c r="I169" s="7"/>
      <c r="J169" s="10" t="str">
        <f aca="false">IF(I169="","",I169*'Start here'!$B$11)</f>
        <v/>
      </c>
      <c r="K169" s="10" t="str">
        <f aca="false">IF(G169="","",G169-N(H169)-N(J169))</f>
        <v/>
      </c>
      <c r="L169" s="9"/>
      <c r="M169" s="9"/>
      <c r="N169" s="10" t="str">
        <f aca="false">IF(G169="","",G169-N(L169)-N(M169))</f>
        <v/>
      </c>
      <c r="O169" s="8"/>
      <c r="P169" s="7"/>
    </row>
    <row r="170" customFormat="false" ht="15" hidden="false" customHeight="false" outlineLevel="0" collapsed="false">
      <c r="A170" s="7"/>
      <c r="B170" s="8"/>
      <c r="C170" s="7"/>
      <c r="D170" s="7"/>
      <c r="E170" s="7"/>
      <c r="F170" s="7"/>
      <c r="G170" s="9"/>
      <c r="H170" s="9"/>
      <c r="I170" s="7"/>
      <c r="J170" s="10" t="str">
        <f aca="false">IF(I170="","",I170*'Start here'!$B$11)</f>
        <v/>
      </c>
      <c r="K170" s="10" t="str">
        <f aca="false">IF(G170="","",G170-N(H170)-N(J170))</f>
        <v/>
      </c>
      <c r="L170" s="9"/>
      <c r="M170" s="9"/>
      <c r="N170" s="10" t="str">
        <f aca="false">IF(G170="","",G170-N(L170)-N(M170))</f>
        <v/>
      </c>
      <c r="O170" s="8"/>
      <c r="P170" s="7"/>
    </row>
    <row r="171" customFormat="false" ht="15" hidden="false" customHeight="false" outlineLevel="0" collapsed="false">
      <c r="A171" s="7"/>
      <c r="B171" s="8"/>
      <c r="C171" s="7"/>
      <c r="D171" s="7"/>
      <c r="E171" s="7"/>
      <c r="F171" s="7"/>
      <c r="G171" s="9"/>
      <c r="H171" s="9"/>
      <c r="I171" s="7"/>
      <c r="J171" s="10" t="str">
        <f aca="false">IF(I171="","",I171*'Start here'!$B$11)</f>
        <v/>
      </c>
      <c r="K171" s="10" t="str">
        <f aca="false">IF(G171="","",G171-N(H171)-N(J171))</f>
        <v/>
      </c>
      <c r="L171" s="9"/>
      <c r="M171" s="9"/>
      <c r="N171" s="10" t="str">
        <f aca="false">IF(G171="","",G171-N(L171)-N(M171))</f>
        <v/>
      </c>
      <c r="O171" s="8"/>
      <c r="P171" s="7"/>
    </row>
    <row r="172" customFormat="false" ht="15" hidden="false" customHeight="false" outlineLevel="0" collapsed="false">
      <c r="A172" s="7"/>
      <c r="B172" s="8"/>
      <c r="C172" s="7"/>
      <c r="D172" s="7"/>
      <c r="E172" s="7"/>
      <c r="F172" s="7"/>
      <c r="G172" s="9"/>
      <c r="H172" s="9"/>
      <c r="I172" s="7"/>
      <c r="J172" s="10" t="str">
        <f aca="false">IF(I172="","",I172*'Start here'!$B$11)</f>
        <v/>
      </c>
      <c r="K172" s="10" t="str">
        <f aca="false">IF(G172="","",G172-N(H172)-N(J172))</f>
        <v/>
      </c>
      <c r="L172" s="9"/>
      <c r="M172" s="9"/>
      <c r="N172" s="10" t="str">
        <f aca="false">IF(G172="","",G172-N(L172)-N(M172))</f>
        <v/>
      </c>
      <c r="O172" s="8"/>
      <c r="P172" s="7"/>
    </row>
    <row r="173" customFormat="false" ht="15" hidden="false" customHeight="false" outlineLevel="0" collapsed="false">
      <c r="A173" s="7"/>
      <c r="B173" s="8"/>
      <c r="C173" s="7"/>
      <c r="D173" s="7"/>
      <c r="E173" s="7"/>
      <c r="F173" s="7"/>
      <c r="G173" s="9"/>
      <c r="H173" s="9"/>
      <c r="I173" s="7"/>
      <c r="J173" s="10" t="str">
        <f aca="false">IF(I173="","",I173*'Start here'!$B$11)</f>
        <v/>
      </c>
      <c r="K173" s="10" t="str">
        <f aca="false">IF(G173="","",G173-N(H173)-N(J173))</f>
        <v/>
      </c>
      <c r="L173" s="9"/>
      <c r="M173" s="9"/>
      <c r="N173" s="10" t="str">
        <f aca="false">IF(G173="","",G173-N(L173)-N(M173))</f>
        <v/>
      </c>
      <c r="O173" s="8"/>
      <c r="P173" s="7"/>
    </row>
    <row r="174" customFormat="false" ht="15" hidden="false" customHeight="false" outlineLevel="0" collapsed="false">
      <c r="A174" s="7"/>
      <c r="B174" s="8"/>
      <c r="C174" s="7"/>
      <c r="D174" s="7"/>
      <c r="E174" s="7"/>
      <c r="F174" s="7"/>
      <c r="G174" s="9"/>
      <c r="H174" s="9"/>
      <c r="I174" s="7"/>
      <c r="J174" s="10" t="str">
        <f aca="false">IF(I174="","",I174*'Start here'!$B$11)</f>
        <v/>
      </c>
      <c r="K174" s="10" t="str">
        <f aca="false">IF(G174="","",G174-N(H174)-N(J174))</f>
        <v/>
      </c>
      <c r="L174" s="9"/>
      <c r="M174" s="9"/>
      <c r="N174" s="10" t="str">
        <f aca="false">IF(G174="","",G174-N(L174)-N(M174))</f>
        <v/>
      </c>
      <c r="O174" s="8"/>
      <c r="P174" s="7"/>
    </row>
    <row r="175" customFormat="false" ht="15" hidden="false" customHeight="false" outlineLevel="0" collapsed="false">
      <c r="A175" s="7"/>
      <c r="B175" s="8"/>
      <c r="C175" s="7"/>
      <c r="D175" s="7"/>
      <c r="E175" s="7"/>
      <c r="F175" s="7"/>
      <c r="G175" s="9"/>
      <c r="H175" s="9"/>
      <c r="I175" s="7"/>
      <c r="J175" s="10" t="str">
        <f aca="false">IF(I175="","",I175*'Start here'!$B$11)</f>
        <v/>
      </c>
      <c r="K175" s="10" t="str">
        <f aca="false">IF(G175="","",G175-N(H175)-N(J175))</f>
        <v/>
      </c>
      <c r="L175" s="9"/>
      <c r="M175" s="9"/>
      <c r="N175" s="10" t="str">
        <f aca="false">IF(G175="","",G175-N(L175)-N(M175))</f>
        <v/>
      </c>
      <c r="O175" s="8"/>
      <c r="P175" s="7"/>
    </row>
    <row r="176" customFormat="false" ht="15" hidden="false" customHeight="false" outlineLevel="0" collapsed="false">
      <c r="A176" s="7"/>
      <c r="B176" s="8"/>
      <c r="C176" s="7"/>
      <c r="D176" s="7"/>
      <c r="E176" s="7"/>
      <c r="F176" s="7"/>
      <c r="G176" s="9"/>
      <c r="H176" s="9"/>
      <c r="I176" s="7"/>
      <c r="J176" s="10" t="str">
        <f aca="false">IF(I176="","",I176*'Start here'!$B$11)</f>
        <v/>
      </c>
      <c r="K176" s="10" t="str">
        <f aca="false">IF(G176="","",G176-N(H176)-N(J176))</f>
        <v/>
      </c>
      <c r="L176" s="9"/>
      <c r="M176" s="9"/>
      <c r="N176" s="10" t="str">
        <f aca="false">IF(G176="","",G176-N(L176)-N(M176))</f>
        <v/>
      </c>
      <c r="O176" s="8"/>
      <c r="P176" s="7"/>
    </row>
    <row r="177" customFormat="false" ht="15" hidden="false" customHeight="false" outlineLevel="0" collapsed="false">
      <c r="A177" s="7"/>
      <c r="B177" s="8"/>
      <c r="C177" s="7"/>
      <c r="D177" s="7"/>
      <c r="E177" s="7"/>
      <c r="F177" s="7"/>
      <c r="G177" s="9"/>
      <c r="H177" s="9"/>
      <c r="I177" s="7"/>
      <c r="J177" s="10" t="str">
        <f aca="false">IF(I177="","",I177*'Start here'!$B$11)</f>
        <v/>
      </c>
      <c r="K177" s="10" t="str">
        <f aca="false">IF(G177="","",G177-N(H177)-N(J177))</f>
        <v/>
      </c>
      <c r="L177" s="9"/>
      <c r="M177" s="9"/>
      <c r="N177" s="10" t="str">
        <f aca="false">IF(G177="","",G177-N(L177)-N(M177))</f>
        <v/>
      </c>
      <c r="O177" s="8"/>
      <c r="P177" s="7"/>
    </row>
    <row r="178" customFormat="false" ht="15" hidden="false" customHeight="false" outlineLevel="0" collapsed="false">
      <c r="A178" s="7"/>
      <c r="B178" s="8"/>
      <c r="C178" s="7"/>
      <c r="D178" s="7"/>
      <c r="E178" s="7"/>
      <c r="F178" s="7"/>
      <c r="G178" s="9"/>
      <c r="H178" s="9"/>
      <c r="I178" s="7"/>
      <c r="J178" s="10" t="str">
        <f aca="false">IF(I178="","",I178*'Start here'!$B$11)</f>
        <v/>
      </c>
      <c r="K178" s="10" t="str">
        <f aca="false">IF(G178="","",G178-N(H178)-N(J178))</f>
        <v/>
      </c>
      <c r="L178" s="9"/>
      <c r="M178" s="9"/>
      <c r="N178" s="10" t="str">
        <f aca="false">IF(G178="","",G178-N(L178)-N(M178))</f>
        <v/>
      </c>
      <c r="O178" s="8"/>
      <c r="P178" s="7"/>
    </row>
    <row r="179" customFormat="false" ht="15" hidden="false" customHeight="false" outlineLevel="0" collapsed="false">
      <c r="A179" s="7"/>
      <c r="B179" s="8"/>
      <c r="C179" s="7"/>
      <c r="D179" s="7"/>
      <c r="E179" s="7"/>
      <c r="F179" s="7"/>
      <c r="G179" s="9"/>
      <c r="H179" s="9"/>
      <c r="I179" s="7"/>
      <c r="J179" s="10" t="str">
        <f aca="false">IF(I179="","",I179*'Start here'!$B$11)</f>
        <v/>
      </c>
      <c r="K179" s="10" t="str">
        <f aca="false">IF(G179="","",G179-N(H179)-N(J179))</f>
        <v/>
      </c>
      <c r="L179" s="9"/>
      <c r="M179" s="9"/>
      <c r="N179" s="10" t="str">
        <f aca="false">IF(G179="","",G179-N(L179)-N(M179))</f>
        <v/>
      </c>
      <c r="O179" s="8"/>
      <c r="P179" s="7"/>
    </row>
    <row r="180" customFormat="false" ht="15" hidden="false" customHeight="false" outlineLevel="0" collapsed="false">
      <c r="A180" s="7"/>
      <c r="B180" s="8"/>
      <c r="C180" s="7"/>
      <c r="D180" s="7"/>
      <c r="E180" s="7"/>
      <c r="F180" s="7"/>
      <c r="G180" s="9"/>
      <c r="H180" s="9"/>
      <c r="I180" s="7"/>
      <c r="J180" s="10" t="str">
        <f aca="false">IF(I180="","",I180*'Start here'!$B$11)</f>
        <v/>
      </c>
      <c r="K180" s="10" t="str">
        <f aca="false">IF(G180="","",G180-N(H180)-N(J180))</f>
        <v/>
      </c>
      <c r="L180" s="9"/>
      <c r="M180" s="9"/>
      <c r="N180" s="10" t="str">
        <f aca="false">IF(G180="","",G180-N(L180)-N(M180))</f>
        <v/>
      </c>
      <c r="O180" s="8"/>
      <c r="P180" s="7"/>
    </row>
    <row r="181" customFormat="false" ht="15" hidden="false" customHeight="false" outlineLevel="0" collapsed="false">
      <c r="A181" s="7"/>
      <c r="B181" s="8"/>
      <c r="C181" s="7"/>
      <c r="D181" s="7"/>
      <c r="E181" s="7"/>
      <c r="F181" s="7"/>
      <c r="G181" s="9"/>
      <c r="H181" s="9"/>
      <c r="I181" s="7"/>
      <c r="J181" s="10" t="str">
        <f aca="false">IF(I181="","",I181*'Start here'!$B$11)</f>
        <v/>
      </c>
      <c r="K181" s="10" t="str">
        <f aca="false">IF(G181="","",G181-N(H181)-N(J181))</f>
        <v/>
      </c>
      <c r="L181" s="9"/>
      <c r="M181" s="9"/>
      <c r="N181" s="10" t="str">
        <f aca="false">IF(G181="","",G181-N(L181)-N(M181))</f>
        <v/>
      </c>
      <c r="O181" s="8"/>
      <c r="P181" s="7"/>
    </row>
    <row r="182" customFormat="false" ht="15" hidden="false" customHeight="false" outlineLevel="0" collapsed="false">
      <c r="A182" s="7"/>
      <c r="B182" s="8"/>
      <c r="C182" s="7"/>
      <c r="D182" s="7"/>
      <c r="E182" s="7"/>
      <c r="F182" s="7"/>
      <c r="G182" s="9"/>
      <c r="H182" s="9"/>
      <c r="I182" s="7"/>
      <c r="J182" s="10" t="str">
        <f aca="false">IF(I182="","",I182*'Start here'!$B$11)</f>
        <v/>
      </c>
      <c r="K182" s="10" t="str">
        <f aca="false">IF(G182="","",G182-N(H182)-N(J182))</f>
        <v/>
      </c>
      <c r="L182" s="9"/>
      <c r="M182" s="9"/>
      <c r="N182" s="10" t="str">
        <f aca="false">IF(G182="","",G182-N(L182)-N(M182))</f>
        <v/>
      </c>
      <c r="O182" s="8"/>
      <c r="P182" s="7"/>
    </row>
    <row r="183" customFormat="false" ht="15" hidden="false" customHeight="false" outlineLevel="0" collapsed="false">
      <c r="A183" s="7"/>
      <c r="B183" s="8"/>
      <c r="C183" s="7"/>
      <c r="D183" s="7"/>
      <c r="E183" s="7"/>
      <c r="F183" s="7"/>
      <c r="G183" s="9"/>
      <c r="H183" s="9"/>
      <c r="I183" s="7"/>
      <c r="J183" s="10" t="str">
        <f aca="false">IF(I183="","",I183*'Start here'!$B$11)</f>
        <v/>
      </c>
      <c r="K183" s="10" t="str">
        <f aca="false">IF(G183="","",G183-N(H183)-N(J183))</f>
        <v/>
      </c>
      <c r="L183" s="9"/>
      <c r="M183" s="9"/>
      <c r="N183" s="10" t="str">
        <f aca="false">IF(G183="","",G183-N(L183)-N(M183))</f>
        <v/>
      </c>
      <c r="O183" s="8"/>
      <c r="P183" s="7"/>
    </row>
    <row r="184" customFormat="false" ht="15" hidden="false" customHeight="false" outlineLevel="0" collapsed="false">
      <c r="A184" s="7"/>
      <c r="B184" s="8"/>
      <c r="C184" s="7"/>
      <c r="D184" s="7"/>
      <c r="E184" s="7"/>
      <c r="F184" s="7"/>
      <c r="G184" s="9"/>
      <c r="H184" s="9"/>
      <c r="I184" s="7"/>
      <c r="J184" s="10" t="str">
        <f aca="false">IF(I184="","",I184*'Start here'!$B$11)</f>
        <v/>
      </c>
      <c r="K184" s="10" t="str">
        <f aca="false">IF(G184="","",G184-N(H184)-N(J184))</f>
        <v/>
      </c>
      <c r="L184" s="9"/>
      <c r="M184" s="9"/>
      <c r="N184" s="10" t="str">
        <f aca="false">IF(G184="","",G184-N(L184)-N(M184))</f>
        <v/>
      </c>
      <c r="O184" s="8"/>
      <c r="P184" s="7"/>
    </row>
    <row r="185" customFormat="false" ht="15" hidden="false" customHeight="false" outlineLevel="0" collapsed="false">
      <c r="A185" s="7"/>
      <c r="B185" s="8"/>
      <c r="C185" s="7"/>
      <c r="D185" s="7"/>
      <c r="E185" s="7"/>
      <c r="F185" s="7"/>
      <c r="G185" s="9"/>
      <c r="H185" s="9"/>
      <c r="I185" s="7"/>
      <c r="J185" s="10" t="str">
        <f aca="false">IF(I185="","",I185*'Start here'!$B$11)</f>
        <v/>
      </c>
      <c r="K185" s="10" t="str">
        <f aca="false">IF(G185="","",G185-N(H185)-N(J185))</f>
        <v/>
      </c>
      <c r="L185" s="9"/>
      <c r="M185" s="9"/>
      <c r="N185" s="10" t="str">
        <f aca="false">IF(G185="","",G185-N(L185)-N(M185))</f>
        <v/>
      </c>
      <c r="O185" s="8"/>
      <c r="P185" s="7"/>
    </row>
    <row r="186" customFormat="false" ht="15" hidden="false" customHeight="false" outlineLevel="0" collapsed="false">
      <c r="A186" s="7"/>
      <c r="B186" s="8"/>
      <c r="C186" s="7"/>
      <c r="D186" s="7"/>
      <c r="E186" s="7"/>
      <c r="F186" s="7"/>
      <c r="G186" s="9"/>
      <c r="H186" s="9"/>
      <c r="I186" s="7"/>
      <c r="J186" s="10" t="str">
        <f aca="false">IF(I186="","",I186*'Start here'!$B$11)</f>
        <v/>
      </c>
      <c r="K186" s="10" t="str">
        <f aca="false">IF(G186="","",G186-N(H186)-N(J186))</f>
        <v/>
      </c>
      <c r="L186" s="9"/>
      <c r="M186" s="9"/>
      <c r="N186" s="10" t="str">
        <f aca="false">IF(G186="","",G186-N(L186)-N(M186))</f>
        <v/>
      </c>
      <c r="O186" s="8"/>
      <c r="P186" s="7"/>
    </row>
    <row r="187" customFormat="false" ht="15" hidden="false" customHeight="false" outlineLevel="0" collapsed="false">
      <c r="A187" s="7"/>
      <c r="B187" s="8"/>
      <c r="C187" s="7"/>
      <c r="D187" s="7"/>
      <c r="E187" s="7"/>
      <c r="F187" s="7"/>
      <c r="G187" s="9"/>
      <c r="H187" s="9"/>
      <c r="I187" s="7"/>
      <c r="J187" s="10" t="str">
        <f aca="false">IF(I187="","",I187*'Start here'!$B$11)</f>
        <v/>
      </c>
      <c r="K187" s="10" t="str">
        <f aca="false">IF(G187="","",G187-N(H187)-N(J187))</f>
        <v/>
      </c>
      <c r="L187" s="9"/>
      <c r="M187" s="9"/>
      <c r="N187" s="10" t="str">
        <f aca="false">IF(G187="","",G187-N(L187)-N(M187))</f>
        <v/>
      </c>
      <c r="O187" s="8"/>
      <c r="P187" s="7"/>
    </row>
    <row r="188" customFormat="false" ht="15" hidden="false" customHeight="false" outlineLevel="0" collapsed="false">
      <c r="A188" s="7"/>
      <c r="B188" s="8"/>
      <c r="C188" s="7"/>
      <c r="D188" s="7"/>
      <c r="E188" s="7"/>
      <c r="F188" s="7"/>
      <c r="G188" s="9"/>
      <c r="H188" s="9"/>
      <c r="I188" s="7"/>
      <c r="J188" s="10" t="str">
        <f aca="false">IF(I188="","",I188*'Start here'!$B$11)</f>
        <v/>
      </c>
      <c r="K188" s="10" t="str">
        <f aca="false">IF(G188="","",G188-N(H188)-N(J188))</f>
        <v/>
      </c>
      <c r="L188" s="9"/>
      <c r="M188" s="9"/>
      <c r="N188" s="10" t="str">
        <f aca="false">IF(G188="","",G188-N(L188)-N(M188))</f>
        <v/>
      </c>
      <c r="O188" s="8"/>
      <c r="P188" s="7"/>
    </row>
    <row r="189" customFormat="false" ht="15" hidden="false" customHeight="false" outlineLevel="0" collapsed="false">
      <c r="A189" s="7"/>
      <c r="B189" s="8"/>
      <c r="C189" s="7"/>
      <c r="D189" s="7"/>
      <c r="E189" s="7"/>
      <c r="F189" s="7"/>
      <c r="G189" s="9"/>
      <c r="H189" s="9"/>
      <c r="I189" s="7"/>
      <c r="J189" s="10" t="str">
        <f aca="false">IF(I189="","",I189*'Start here'!$B$11)</f>
        <v/>
      </c>
      <c r="K189" s="10" t="str">
        <f aca="false">IF(G189="","",G189-N(H189)-N(J189))</f>
        <v/>
      </c>
      <c r="L189" s="9"/>
      <c r="M189" s="9"/>
      <c r="N189" s="10" t="str">
        <f aca="false">IF(G189="","",G189-N(L189)-N(M189))</f>
        <v/>
      </c>
      <c r="O189" s="8"/>
      <c r="P189" s="7"/>
    </row>
    <row r="190" customFormat="false" ht="15" hidden="false" customHeight="false" outlineLevel="0" collapsed="false">
      <c r="A190" s="7"/>
      <c r="B190" s="8"/>
      <c r="C190" s="7"/>
      <c r="D190" s="7"/>
      <c r="E190" s="7"/>
      <c r="F190" s="7"/>
      <c r="G190" s="9"/>
      <c r="H190" s="9"/>
      <c r="I190" s="7"/>
      <c r="J190" s="10" t="str">
        <f aca="false">IF(I190="","",I190*'Start here'!$B$11)</f>
        <v/>
      </c>
      <c r="K190" s="10" t="str">
        <f aca="false">IF(G190="","",G190-N(H190)-N(J190))</f>
        <v/>
      </c>
      <c r="L190" s="9"/>
      <c r="M190" s="9"/>
      <c r="N190" s="10" t="str">
        <f aca="false">IF(G190="","",G190-N(L190)-N(M190))</f>
        <v/>
      </c>
      <c r="O190" s="8"/>
      <c r="P190" s="7"/>
    </row>
    <row r="191" customFormat="false" ht="15" hidden="false" customHeight="false" outlineLevel="0" collapsed="false">
      <c r="A191" s="7"/>
      <c r="B191" s="8"/>
      <c r="C191" s="7"/>
      <c r="D191" s="7"/>
      <c r="E191" s="7"/>
      <c r="F191" s="7"/>
      <c r="G191" s="9"/>
      <c r="H191" s="9"/>
      <c r="I191" s="7"/>
      <c r="J191" s="10" t="str">
        <f aca="false">IF(I191="","",I191*'Start here'!$B$11)</f>
        <v/>
      </c>
      <c r="K191" s="10" t="str">
        <f aca="false">IF(G191="","",G191-N(H191)-N(J191))</f>
        <v/>
      </c>
      <c r="L191" s="9"/>
      <c r="M191" s="9"/>
      <c r="N191" s="10" t="str">
        <f aca="false">IF(G191="","",G191-N(L191)-N(M191))</f>
        <v/>
      </c>
      <c r="O191" s="8"/>
      <c r="P191" s="7"/>
    </row>
    <row r="192" customFormat="false" ht="15" hidden="false" customHeight="false" outlineLevel="0" collapsed="false">
      <c r="A192" s="7"/>
      <c r="B192" s="8"/>
      <c r="C192" s="7"/>
      <c r="D192" s="7"/>
      <c r="E192" s="7"/>
      <c r="F192" s="7"/>
      <c r="G192" s="9"/>
      <c r="H192" s="9"/>
      <c r="I192" s="7"/>
      <c r="J192" s="10" t="str">
        <f aca="false">IF(I192="","",I192*'Start here'!$B$11)</f>
        <v/>
      </c>
      <c r="K192" s="10" t="str">
        <f aca="false">IF(G192="","",G192-N(H192)-N(J192))</f>
        <v/>
      </c>
      <c r="L192" s="9"/>
      <c r="M192" s="9"/>
      <c r="N192" s="10" t="str">
        <f aca="false">IF(G192="","",G192-N(L192)-N(M192))</f>
        <v/>
      </c>
      <c r="O192" s="8"/>
      <c r="P192" s="7"/>
    </row>
    <row r="193" customFormat="false" ht="15" hidden="false" customHeight="false" outlineLevel="0" collapsed="false">
      <c r="A193" s="7"/>
      <c r="B193" s="8"/>
      <c r="C193" s="7"/>
      <c r="D193" s="7"/>
      <c r="E193" s="7"/>
      <c r="F193" s="7"/>
      <c r="G193" s="9"/>
      <c r="H193" s="9"/>
      <c r="I193" s="7"/>
      <c r="J193" s="10" t="str">
        <f aca="false">IF(I193="","",I193*'Start here'!$B$11)</f>
        <v/>
      </c>
      <c r="K193" s="10" t="str">
        <f aca="false">IF(G193="","",G193-N(H193)-N(J193))</f>
        <v/>
      </c>
      <c r="L193" s="9"/>
      <c r="M193" s="9"/>
      <c r="N193" s="10" t="str">
        <f aca="false">IF(G193="","",G193-N(L193)-N(M193))</f>
        <v/>
      </c>
      <c r="O193" s="8"/>
      <c r="P193" s="7"/>
    </row>
    <row r="194" customFormat="false" ht="15" hidden="false" customHeight="false" outlineLevel="0" collapsed="false">
      <c r="A194" s="7"/>
      <c r="B194" s="8"/>
      <c r="C194" s="7"/>
      <c r="D194" s="7"/>
      <c r="E194" s="7"/>
      <c r="F194" s="7"/>
      <c r="G194" s="9"/>
      <c r="H194" s="9"/>
      <c r="I194" s="7"/>
      <c r="J194" s="10" t="str">
        <f aca="false">IF(I194="","",I194*'Start here'!$B$11)</f>
        <v/>
      </c>
      <c r="K194" s="10" t="str">
        <f aca="false">IF(G194="","",G194-N(H194)-N(J194))</f>
        <v/>
      </c>
      <c r="L194" s="9"/>
      <c r="M194" s="9"/>
      <c r="N194" s="10" t="str">
        <f aca="false">IF(G194="","",G194-N(L194)-N(M194))</f>
        <v/>
      </c>
      <c r="O194" s="8"/>
      <c r="P194" s="7"/>
    </row>
    <row r="195" customFormat="false" ht="15" hidden="false" customHeight="false" outlineLevel="0" collapsed="false">
      <c r="A195" s="7"/>
      <c r="B195" s="8"/>
      <c r="C195" s="7"/>
      <c r="D195" s="7"/>
      <c r="E195" s="7"/>
      <c r="F195" s="7"/>
      <c r="G195" s="9"/>
      <c r="H195" s="9"/>
      <c r="I195" s="7"/>
      <c r="J195" s="10" t="str">
        <f aca="false">IF(I195="","",I195*'Start here'!$B$11)</f>
        <v/>
      </c>
      <c r="K195" s="10" t="str">
        <f aca="false">IF(G195="","",G195-N(H195)-N(J195))</f>
        <v/>
      </c>
      <c r="L195" s="9"/>
      <c r="M195" s="9"/>
      <c r="N195" s="10" t="str">
        <f aca="false">IF(G195="","",G195-N(L195)-N(M195))</f>
        <v/>
      </c>
      <c r="O195" s="8"/>
      <c r="P195" s="7"/>
    </row>
    <row r="196" customFormat="false" ht="15" hidden="false" customHeight="false" outlineLevel="0" collapsed="false">
      <c r="A196" s="7"/>
      <c r="B196" s="8"/>
      <c r="C196" s="7"/>
      <c r="D196" s="7"/>
      <c r="E196" s="7"/>
      <c r="F196" s="7"/>
      <c r="G196" s="9"/>
      <c r="H196" s="9"/>
      <c r="I196" s="7"/>
      <c r="J196" s="10" t="str">
        <f aca="false">IF(I196="","",I196*'Start here'!$B$11)</f>
        <v/>
      </c>
      <c r="K196" s="10" t="str">
        <f aca="false">IF(G196="","",G196-N(H196)-N(J196))</f>
        <v/>
      </c>
      <c r="L196" s="9"/>
      <c r="M196" s="9"/>
      <c r="N196" s="10" t="str">
        <f aca="false">IF(G196="","",G196-N(L196)-N(M196))</f>
        <v/>
      </c>
      <c r="O196" s="8"/>
      <c r="P196" s="7"/>
    </row>
    <row r="197" customFormat="false" ht="15" hidden="false" customHeight="false" outlineLevel="0" collapsed="false">
      <c r="A197" s="7"/>
      <c r="B197" s="8"/>
      <c r="C197" s="7"/>
      <c r="D197" s="7"/>
      <c r="E197" s="7"/>
      <c r="F197" s="7"/>
      <c r="G197" s="9"/>
      <c r="H197" s="9"/>
      <c r="I197" s="7"/>
      <c r="J197" s="10" t="str">
        <f aca="false">IF(I197="","",I197*'Start here'!$B$11)</f>
        <v/>
      </c>
      <c r="K197" s="10" t="str">
        <f aca="false">IF(G197="","",G197-N(H197)-N(J197))</f>
        <v/>
      </c>
      <c r="L197" s="9"/>
      <c r="M197" s="9"/>
      <c r="N197" s="10" t="str">
        <f aca="false">IF(G197="","",G197-N(L197)-N(M197))</f>
        <v/>
      </c>
      <c r="O197" s="8"/>
      <c r="P197" s="7"/>
    </row>
    <row r="198" customFormat="false" ht="15" hidden="false" customHeight="false" outlineLevel="0" collapsed="false">
      <c r="A198" s="7"/>
      <c r="B198" s="8"/>
      <c r="C198" s="7"/>
      <c r="D198" s="7"/>
      <c r="E198" s="7"/>
      <c r="F198" s="7"/>
      <c r="G198" s="9"/>
      <c r="H198" s="9"/>
      <c r="I198" s="7"/>
      <c r="J198" s="10" t="str">
        <f aca="false">IF(I198="","",I198*'Start here'!$B$11)</f>
        <v/>
      </c>
      <c r="K198" s="10" t="str">
        <f aca="false">IF(G198="","",G198-N(H198)-N(J198))</f>
        <v/>
      </c>
      <c r="L198" s="9"/>
      <c r="M198" s="9"/>
      <c r="N198" s="10" t="str">
        <f aca="false">IF(G198="","",G198-N(L198)-N(M198))</f>
        <v/>
      </c>
      <c r="O198" s="8"/>
      <c r="P198" s="7"/>
    </row>
    <row r="199" customFormat="false" ht="15" hidden="false" customHeight="false" outlineLevel="0" collapsed="false">
      <c r="A199" s="7"/>
      <c r="B199" s="8"/>
      <c r="C199" s="7"/>
      <c r="D199" s="7"/>
      <c r="E199" s="7"/>
      <c r="F199" s="7"/>
      <c r="G199" s="9"/>
      <c r="H199" s="9"/>
      <c r="I199" s="7"/>
      <c r="J199" s="10" t="str">
        <f aca="false">IF(I199="","",I199*'Start here'!$B$11)</f>
        <v/>
      </c>
      <c r="K199" s="10" t="str">
        <f aca="false">IF(G199="","",G199-N(H199)-N(J199))</f>
        <v/>
      </c>
      <c r="L199" s="9"/>
      <c r="M199" s="9"/>
      <c r="N199" s="10" t="str">
        <f aca="false">IF(G199="","",G199-N(L199)-N(M199))</f>
        <v/>
      </c>
      <c r="O199" s="8"/>
      <c r="P199" s="7"/>
    </row>
    <row r="200" customFormat="false" ht="15" hidden="false" customHeight="false" outlineLevel="0" collapsed="false">
      <c r="A200" s="7"/>
      <c r="B200" s="8"/>
      <c r="C200" s="7"/>
      <c r="D200" s="7"/>
      <c r="E200" s="7"/>
      <c r="F200" s="7"/>
      <c r="G200" s="9"/>
      <c r="H200" s="9"/>
      <c r="I200" s="7"/>
      <c r="J200" s="10" t="str">
        <f aca="false">IF(I200="","",I200*'Start here'!$B$11)</f>
        <v/>
      </c>
      <c r="K200" s="10" t="str">
        <f aca="false">IF(G200="","",G200-N(H200)-N(J200))</f>
        <v/>
      </c>
      <c r="L200" s="9"/>
      <c r="M200" s="9"/>
      <c r="N200" s="10" t="str">
        <f aca="false">IF(G200="","",G200-N(L200)-N(M200))</f>
        <v/>
      </c>
      <c r="O200" s="8"/>
      <c r="P200" s="7"/>
    </row>
    <row r="201" customFormat="false" ht="15" hidden="false" customHeight="false" outlineLevel="0" collapsed="false">
      <c r="A201" s="7"/>
      <c r="B201" s="8"/>
      <c r="C201" s="7"/>
      <c r="D201" s="7"/>
      <c r="E201" s="7"/>
      <c r="F201" s="7"/>
      <c r="G201" s="9"/>
      <c r="H201" s="9"/>
      <c r="I201" s="7"/>
      <c r="J201" s="10" t="str">
        <f aca="false">IF(I201="","",I201*'Start here'!$B$11)</f>
        <v/>
      </c>
      <c r="K201" s="10" t="str">
        <f aca="false">IF(G201="","",G201-N(H201)-N(J201))</f>
        <v/>
      </c>
      <c r="L201" s="9"/>
      <c r="M201" s="9"/>
      <c r="N201" s="10" t="str">
        <f aca="false">IF(G201="","",G201-N(L201)-N(M201))</f>
        <v/>
      </c>
      <c r="O201" s="8"/>
      <c r="P201" s="7"/>
    </row>
    <row r="202" customFormat="false" ht="15" hidden="false" customHeight="false" outlineLevel="0" collapsed="false">
      <c r="A202" s="7"/>
      <c r="B202" s="8"/>
      <c r="C202" s="7"/>
      <c r="D202" s="7"/>
      <c r="E202" s="7"/>
      <c r="F202" s="7"/>
      <c r="G202" s="9"/>
      <c r="H202" s="9"/>
      <c r="I202" s="7"/>
      <c r="J202" s="10" t="str">
        <f aca="false">IF(I202="","",I202*'Start here'!$B$11)</f>
        <v/>
      </c>
      <c r="K202" s="10" t="str">
        <f aca="false">IF(G202="","",G202-N(H202)-N(J202))</f>
        <v/>
      </c>
      <c r="L202" s="9"/>
      <c r="M202" s="9"/>
      <c r="N202" s="10" t="str">
        <f aca="false">IF(G202="","",G202-N(L202)-N(M202))</f>
        <v/>
      </c>
      <c r="O202" s="8"/>
      <c r="P202" s="7"/>
    </row>
    <row r="203" customFormat="false" ht="15" hidden="false" customHeight="false" outlineLevel="0" collapsed="false">
      <c r="A203" s="7"/>
      <c r="B203" s="8"/>
      <c r="C203" s="7"/>
      <c r="D203" s="7"/>
      <c r="E203" s="7"/>
      <c r="F203" s="7"/>
      <c r="G203" s="9"/>
      <c r="H203" s="9"/>
      <c r="I203" s="7"/>
      <c r="J203" s="10" t="str">
        <f aca="false">IF(I203="","",I203*'Start here'!$B$11)</f>
        <v/>
      </c>
      <c r="K203" s="10" t="str">
        <f aca="false">IF(G203="","",G203-N(H203)-N(J203))</f>
        <v/>
      </c>
      <c r="L203" s="9"/>
      <c r="M203" s="9"/>
      <c r="N203" s="10" t="str">
        <f aca="false">IF(G203="","",G203-N(L203)-N(M203))</f>
        <v/>
      </c>
      <c r="O203" s="8"/>
      <c r="P203" s="7"/>
    </row>
    <row r="204" customFormat="false" ht="15" hidden="false" customHeight="false" outlineLevel="0" collapsed="false">
      <c r="A204" s="7"/>
      <c r="B204" s="8"/>
      <c r="C204" s="7"/>
      <c r="D204" s="7"/>
      <c r="E204" s="7"/>
      <c r="F204" s="7"/>
      <c r="G204" s="9"/>
      <c r="H204" s="9"/>
      <c r="I204" s="7"/>
      <c r="J204" s="10" t="str">
        <f aca="false">IF(I204="","",I204*'Start here'!$B$11)</f>
        <v/>
      </c>
      <c r="K204" s="10" t="str">
        <f aca="false">IF(G204="","",G204-N(H204)-N(J204))</f>
        <v/>
      </c>
      <c r="L204" s="9"/>
      <c r="M204" s="9"/>
      <c r="N204" s="10" t="str">
        <f aca="false">IF(G204="","",G204-N(L204)-N(M204))</f>
        <v/>
      </c>
      <c r="O204" s="8"/>
      <c r="P204" s="7"/>
    </row>
    <row r="205" customFormat="false" ht="15" hidden="false" customHeight="false" outlineLevel="0" collapsed="false">
      <c r="A205" s="7"/>
      <c r="B205" s="8"/>
      <c r="C205" s="7"/>
      <c r="D205" s="7"/>
      <c r="E205" s="7"/>
      <c r="F205" s="7"/>
      <c r="G205" s="9"/>
      <c r="H205" s="9"/>
      <c r="I205" s="7"/>
      <c r="J205" s="10" t="str">
        <f aca="false">IF(I205="","",I205*'Start here'!$B$11)</f>
        <v/>
      </c>
      <c r="K205" s="10" t="str">
        <f aca="false">IF(G205="","",G205-N(H205)-N(J205))</f>
        <v/>
      </c>
      <c r="L205" s="9"/>
      <c r="M205" s="9"/>
      <c r="N205" s="10" t="str">
        <f aca="false">IF(G205="","",G205-N(L205)-N(M205))</f>
        <v/>
      </c>
      <c r="O205" s="8"/>
      <c r="P205" s="7"/>
    </row>
    <row r="206" customFormat="false" ht="15" hidden="false" customHeight="false" outlineLevel="0" collapsed="false">
      <c r="A206" s="7"/>
      <c r="B206" s="8"/>
      <c r="C206" s="7"/>
      <c r="D206" s="7"/>
      <c r="E206" s="7"/>
      <c r="F206" s="7"/>
      <c r="G206" s="9"/>
      <c r="H206" s="9"/>
      <c r="I206" s="7"/>
      <c r="J206" s="10" t="str">
        <f aca="false">IF(I206="","",I206*'Start here'!$B$11)</f>
        <v/>
      </c>
      <c r="K206" s="10" t="str">
        <f aca="false">IF(G206="","",G206-N(H206)-N(J206))</f>
        <v/>
      </c>
      <c r="L206" s="9"/>
      <c r="M206" s="9"/>
      <c r="N206" s="10" t="str">
        <f aca="false">IF(G206="","",G206-N(L206)-N(M206))</f>
        <v/>
      </c>
      <c r="O206" s="8"/>
      <c r="P206" s="7"/>
    </row>
    <row r="207" customFormat="false" ht="15" hidden="false" customHeight="false" outlineLevel="0" collapsed="false">
      <c r="A207" s="7"/>
      <c r="B207" s="8"/>
      <c r="C207" s="7"/>
      <c r="D207" s="7"/>
      <c r="E207" s="7"/>
      <c r="F207" s="7"/>
      <c r="G207" s="9"/>
      <c r="H207" s="9"/>
      <c r="I207" s="7"/>
      <c r="J207" s="10" t="str">
        <f aca="false">IF(I207="","",I207*'Start here'!$B$11)</f>
        <v/>
      </c>
      <c r="K207" s="10" t="str">
        <f aca="false">IF(G207="","",G207-N(H207)-N(J207))</f>
        <v/>
      </c>
      <c r="L207" s="9"/>
      <c r="M207" s="9"/>
      <c r="N207" s="10" t="str">
        <f aca="false">IF(G207="","",G207-N(L207)-N(M207))</f>
        <v/>
      </c>
      <c r="O207" s="8"/>
      <c r="P207" s="7"/>
    </row>
    <row r="208" customFormat="false" ht="15" hidden="false" customHeight="false" outlineLevel="0" collapsed="false">
      <c r="A208" s="7"/>
      <c r="B208" s="8"/>
      <c r="C208" s="7"/>
      <c r="D208" s="7"/>
      <c r="E208" s="7"/>
      <c r="F208" s="7"/>
      <c r="G208" s="9"/>
      <c r="H208" s="9"/>
      <c r="I208" s="7"/>
      <c r="J208" s="10" t="str">
        <f aca="false">IF(I208="","",I208*'Start here'!$B$11)</f>
        <v/>
      </c>
      <c r="K208" s="10" t="str">
        <f aca="false">IF(G208="","",G208-N(H208)-N(J208))</f>
        <v/>
      </c>
      <c r="L208" s="9"/>
      <c r="M208" s="9"/>
      <c r="N208" s="10" t="str">
        <f aca="false">IF(G208="","",G208-N(L208)-N(M208))</f>
        <v/>
      </c>
      <c r="O208" s="8"/>
      <c r="P208" s="7"/>
    </row>
    <row r="209" customFormat="false" ht="15" hidden="false" customHeight="false" outlineLevel="0" collapsed="false">
      <c r="A209" s="7"/>
      <c r="B209" s="8"/>
      <c r="C209" s="7"/>
      <c r="D209" s="7"/>
      <c r="E209" s="7"/>
      <c r="F209" s="7"/>
      <c r="G209" s="9"/>
      <c r="H209" s="9"/>
      <c r="I209" s="7"/>
      <c r="J209" s="10" t="str">
        <f aca="false">IF(I209="","",I209*'Start here'!$B$11)</f>
        <v/>
      </c>
      <c r="K209" s="10" t="str">
        <f aca="false">IF(G209="","",G209-N(H209)-N(J209))</f>
        <v/>
      </c>
      <c r="L209" s="9"/>
      <c r="M209" s="9"/>
      <c r="N209" s="10" t="str">
        <f aca="false">IF(G209="","",G209-N(L209)-N(M209))</f>
        <v/>
      </c>
      <c r="O209" s="8"/>
      <c r="P209" s="7"/>
    </row>
    <row r="210" customFormat="false" ht="15" hidden="false" customHeight="false" outlineLevel="0" collapsed="false">
      <c r="A210" s="7"/>
      <c r="B210" s="8"/>
      <c r="C210" s="7"/>
      <c r="D210" s="7"/>
      <c r="E210" s="7"/>
      <c r="F210" s="7"/>
      <c r="G210" s="9"/>
      <c r="H210" s="9"/>
      <c r="I210" s="7"/>
      <c r="J210" s="10" t="str">
        <f aca="false">IF(I210="","",I210*'Start here'!$B$11)</f>
        <v/>
      </c>
      <c r="K210" s="10" t="str">
        <f aca="false">IF(G210="","",G210-N(H210)-N(J210))</f>
        <v/>
      </c>
      <c r="L210" s="9"/>
      <c r="M210" s="9"/>
      <c r="N210" s="10" t="str">
        <f aca="false">IF(G210="","",G210-N(L210)-N(M210))</f>
        <v/>
      </c>
      <c r="O210" s="8"/>
      <c r="P210" s="7"/>
    </row>
    <row r="211" customFormat="false" ht="15" hidden="false" customHeight="false" outlineLevel="0" collapsed="false">
      <c r="A211" s="7"/>
      <c r="B211" s="8"/>
      <c r="C211" s="7"/>
      <c r="D211" s="7"/>
      <c r="E211" s="7"/>
      <c r="F211" s="7"/>
      <c r="G211" s="9"/>
      <c r="H211" s="9"/>
      <c r="I211" s="7"/>
      <c r="J211" s="10" t="str">
        <f aca="false">IF(I211="","",I211*'Start here'!$B$11)</f>
        <v/>
      </c>
      <c r="K211" s="10" t="str">
        <f aca="false">IF(G211="","",G211-N(H211)-N(J211))</f>
        <v/>
      </c>
      <c r="L211" s="9"/>
      <c r="M211" s="9"/>
      <c r="N211" s="10" t="str">
        <f aca="false">IF(G211="","",G211-N(L211)-N(M211))</f>
        <v/>
      </c>
      <c r="O211" s="8"/>
      <c r="P211" s="7"/>
    </row>
    <row r="212" customFormat="false" ht="15" hidden="false" customHeight="false" outlineLevel="0" collapsed="false">
      <c r="A212" s="7"/>
      <c r="B212" s="8"/>
      <c r="C212" s="7"/>
      <c r="D212" s="7"/>
      <c r="E212" s="7"/>
      <c r="F212" s="7"/>
      <c r="G212" s="9"/>
      <c r="H212" s="9"/>
      <c r="I212" s="7"/>
      <c r="J212" s="10" t="str">
        <f aca="false">IF(I212="","",I212*'Start here'!$B$11)</f>
        <v/>
      </c>
      <c r="K212" s="10" t="str">
        <f aca="false">IF(G212="","",G212-N(H212)-N(J212))</f>
        <v/>
      </c>
      <c r="L212" s="9"/>
      <c r="M212" s="9"/>
      <c r="N212" s="10" t="str">
        <f aca="false">IF(G212="","",G212-N(L212)-N(M212))</f>
        <v/>
      </c>
      <c r="O212" s="8"/>
      <c r="P212" s="7"/>
    </row>
    <row r="213" customFormat="false" ht="15" hidden="false" customHeight="false" outlineLevel="0" collapsed="false">
      <c r="A213" s="7"/>
      <c r="B213" s="8"/>
      <c r="C213" s="7"/>
      <c r="D213" s="7"/>
      <c r="E213" s="7"/>
      <c r="F213" s="7"/>
      <c r="G213" s="9"/>
      <c r="H213" s="9"/>
      <c r="I213" s="7"/>
      <c r="J213" s="10" t="str">
        <f aca="false">IF(I213="","",I213*'Start here'!$B$11)</f>
        <v/>
      </c>
      <c r="K213" s="10" t="str">
        <f aca="false">IF(G213="","",G213-N(H213)-N(J213))</f>
        <v/>
      </c>
      <c r="L213" s="9"/>
      <c r="M213" s="9"/>
      <c r="N213" s="10" t="str">
        <f aca="false">IF(G213="","",G213-N(L213)-N(M213))</f>
        <v/>
      </c>
      <c r="O213" s="8"/>
      <c r="P213" s="7"/>
    </row>
    <row r="214" customFormat="false" ht="15" hidden="false" customHeight="false" outlineLevel="0" collapsed="false">
      <c r="A214" s="7"/>
      <c r="B214" s="8"/>
      <c r="C214" s="7"/>
      <c r="D214" s="7"/>
      <c r="E214" s="7"/>
      <c r="F214" s="7"/>
      <c r="G214" s="9"/>
      <c r="H214" s="9"/>
      <c r="I214" s="7"/>
      <c r="J214" s="10" t="str">
        <f aca="false">IF(I214="","",I214*'Start here'!$B$11)</f>
        <v/>
      </c>
      <c r="K214" s="10" t="str">
        <f aca="false">IF(G214="","",G214-N(H214)-N(J214))</f>
        <v/>
      </c>
      <c r="L214" s="9"/>
      <c r="M214" s="9"/>
      <c r="N214" s="10" t="str">
        <f aca="false">IF(G214="","",G214-N(L214)-N(M214))</f>
        <v/>
      </c>
      <c r="O214" s="8"/>
      <c r="P214" s="7"/>
    </row>
    <row r="215" customFormat="false" ht="15" hidden="false" customHeight="false" outlineLevel="0" collapsed="false">
      <c r="A215" s="7"/>
      <c r="B215" s="8"/>
      <c r="C215" s="7"/>
      <c r="D215" s="7"/>
      <c r="E215" s="7"/>
      <c r="F215" s="7"/>
      <c r="G215" s="9"/>
      <c r="H215" s="9"/>
      <c r="I215" s="7"/>
      <c r="J215" s="10" t="str">
        <f aca="false">IF(I215="","",I215*'Start here'!$B$11)</f>
        <v/>
      </c>
      <c r="K215" s="10" t="str">
        <f aca="false">IF(G215="","",G215-N(H215)-N(J215))</f>
        <v/>
      </c>
      <c r="L215" s="9"/>
      <c r="M215" s="9"/>
      <c r="N215" s="10" t="str">
        <f aca="false">IF(G215="","",G215-N(L215)-N(M215))</f>
        <v/>
      </c>
      <c r="O215" s="8"/>
      <c r="P215" s="7"/>
    </row>
    <row r="216" customFormat="false" ht="15" hidden="false" customHeight="false" outlineLevel="0" collapsed="false">
      <c r="A216" s="7"/>
      <c r="B216" s="8"/>
      <c r="C216" s="7"/>
      <c r="D216" s="7"/>
      <c r="E216" s="7"/>
      <c r="F216" s="7"/>
      <c r="G216" s="9"/>
      <c r="H216" s="9"/>
      <c r="I216" s="7"/>
      <c r="J216" s="10" t="str">
        <f aca="false">IF(I216="","",I216*'Start here'!$B$11)</f>
        <v/>
      </c>
      <c r="K216" s="10" t="str">
        <f aca="false">IF(G216="","",G216-N(H216)-N(J216))</f>
        <v/>
      </c>
      <c r="L216" s="9"/>
      <c r="M216" s="9"/>
      <c r="N216" s="10" t="str">
        <f aca="false">IF(G216="","",G216-N(L216)-N(M216))</f>
        <v/>
      </c>
      <c r="O216" s="8"/>
      <c r="P216" s="7"/>
    </row>
    <row r="217" customFormat="false" ht="15" hidden="false" customHeight="false" outlineLevel="0" collapsed="false">
      <c r="A217" s="7"/>
      <c r="B217" s="8"/>
      <c r="C217" s="7"/>
      <c r="D217" s="7"/>
      <c r="E217" s="7"/>
      <c r="F217" s="7"/>
      <c r="G217" s="9"/>
      <c r="H217" s="9"/>
      <c r="I217" s="7"/>
      <c r="J217" s="10" t="str">
        <f aca="false">IF(I217="","",I217*'Start here'!$B$11)</f>
        <v/>
      </c>
      <c r="K217" s="10" t="str">
        <f aca="false">IF(G217="","",G217-N(H217)-N(J217))</f>
        <v/>
      </c>
      <c r="L217" s="9"/>
      <c r="M217" s="9"/>
      <c r="N217" s="10" t="str">
        <f aca="false">IF(G217="","",G217-N(L217)-N(M217))</f>
        <v/>
      </c>
      <c r="O217" s="8"/>
      <c r="P217" s="7"/>
    </row>
    <row r="218" customFormat="false" ht="15" hidden="false" customHeight="false" outlineLevel="0" collapsed="false">
      <c r="A218" s="7"/>
      <c r="B218" s="8"/>
      <c r="C218" s="7"/>
      <c r="D218" s="7"/>
      <c r="E218" s="7"/>
      <c r="F218" s="7"/>
      <c r="G218" s="9"/>
      <c r="H218" s="9"/>
      <c r="I218" s="7"/>
      <c r="J218" s="10" t="str">
        <f aca="false">IF(I218="","",I218*'Start here'!$B$11)</f>
        <v/>
      </c>
      <c r="K218" s="10" t="str">
        <f aca="false">IF(G218="","",G218-N(H218)-N(J218))</f>
        <v/>
      </c>
      <c r="L218" s="9"/>
      <c r="M218" s="9"/>
      <c r="N218" s="10" t="str">
        <f aca="false">IF(G218="","",G218-N(L218)-N(M218))</f>
        <v/>
      </c>
      <c r="O218" s="8"/>
      <c r="P218" s="7"/>
    </row>
    <row r="219" customFormat="false" ht="15" hidden="false" customHeight="false" outlineLevel="0" collapsed="false">
      <c r="A219" s="7"/>
      <c r="B219" s="8"/>
      <c r="C219" s="7"/>
      <c r="D219" s="7"/>
      <c r="E219" s="7"/>
      <c r="F219" s="7"/>
      <c r="G219" s="9"/>
      <c r="H219" s="9"/>
      <c r="I219" s="7"/>
      <c r="J219" s="10" t="str">
        <f aca="false">IF(I219="","",I219*'Start here'!$B$11)</f>
        <v/>
      </c>
      <c r="K219" s="10" t="str">
        <f aca="false">IF(G219="","",G219-N(H219)-N(J219))</f>
        <v/>
      </c>
      <c r="L219" s="9"/>
      <c r="M219" s="9"/>
      <c r="N219" s="10" t="str">
        <f aca="false">IF(G219="","",G219-N(L219)-N(M219))</f>
        <v/>
      </c>
      <c r="O219" s="8"/>
      <c r="P219" s="7"/>
    </row>
    <row r="220" customFormat="false" ht="15" hidden="false" customHeight="false" outlineLevel="0" collapsed="false">
      <c r="A220" s="7"/>
      <c r="B220" s="8"/>
      <c r="C220" s="7"/>
      <c r="D220" s="7"/>
      <c r="E220" s="7"/>
      <c r="F220" s="7"/>
      <c r="G220" s="9"/>
      <c r="H220" s="9"/>
      <c r="I220" s="7"/>
      <c r="J220" s="10" t="str">
        <f aca="false">IF(I220="","",I220*'Start here'!$B$11)</f>
        <v/>
      </c>
      <c r="K220" s="10" t="str">
        <f aca="false">IF(G220="","",G220-N(H220)-N(J220))</f>
        <v/>
      </c>
      <c r="L220" s="9"/>
      <c r="M220" s="9"/>
      <c r="N220" s="10" t="str">
        <f aca="false">IF(G220="","",G220-N(L220)-N(M220))</f>
        <v/>
      </c>
      <c r="O220" s="8"/>
      <c r="P220" s="7"/>
    </row>
    <row r="221" customFormat="false" ht="15" hidden="false" customHeight="false" outlineLevel="0" collapsed="false">
      <c r="A221" s="7"/>
      <c r="B221" s="8"/>
      <c r="C221" s="7"/>
      <c r="D221" s="7"/>
      <c r="E221" s="7"/>
      <c r="F221" s="7"/>
      <c r="G221" s="9"/>
      <c r="H221" s="9"/>
      <c r="I221" s="7"/>
      <c r="J221" s="10" t="str">
        <f aca="false">IF(I221="","",I221*'Start here'!$B$11)</f>
        <v/>
      </c>
      <c r="K221" s="10" t="str">
        <f aca="false">IF(G221="","",G221-N(H221)-N(J221))</f>
        <v/>
      </c>
      <c r="L221" s="9"/>
      <c r="M221" s="9"/>
      <c r="N221" s="10" t="str">
        <f aca="false">IF(G221="","",G221-N(L221)-N(M221))</f>
        <v/>
      </c>
      <c r="O221" s="8"/>
      <c r="P221" s="7"/>
    </row>
    <row r="222" customFormat="false" ht="15" hidden="false" customHeight="false" outlineLevel="0" collapsed="false">
      <c r="A222" s="7"/>
      <c r="B222" s="8"/>
      <c r="C222" s="7"/>
      <c r="D222" s="7"/>
      <c r="E222" s="7"/>
      <c r="F222" s="7"/>
      <c r="G222" s="9"/>
      <c r="H222" s="9"/>
      <c r="I222" s="7"/>
      <c r="J222" s="10" t="str">
        <f aca="false">IF(I222="","",I222*'Start here'!$B$11)</f>
        <v/>
      </c>
      <c r="K222" s="10" t="str">
        <f aca="false">IF(G222="","",G222-N(H222)-N(J222))</f>
        <v/>
      </c>
      <c r="L222" s="9"/>
      <c r="M222" s="9"/>
      <c r="N222" s="10" t="str">
        <f aca="false">IF(G222="","",G222-N(L222)-N(M222))</f>
        <v/>
      </c>
      <c r="O222" s="8"/>
      <c r="P222" s="7"/>
    </row>
    <row r="223" customFormat="false" ht="15" hidden="false" customHeight="false" outlineLevel="0" collapsed="false">
      <c r="A223" s="7"/>
      <c r="B223" s="8"/>
      <c r="C223" s="7"/>
      <c r="D223" s="7"/>
      <c r="E223" s="7"/>
      <c r="F223" s="7"/>
      <c r="G223" s="9"/>
      <c r="H223" s="9"/>
      <c r="I223" s="7"/>
      <c r="J223" s="10" t="str">
        <f aca="false">IF(I223="","",I223*'Start here'!$B$11)</f>
        <v/>
      </c>
      <c r="K223" s="10" t="str">
        <f aca="false">IF(G223="","",G223-N(H223)-N(J223))</f>
        <v/>
      </c>
      <c r="L223" s="9"/>
      <c r="M223" s="9"/>
      <c r="N223" s="10" t="str">
        <f aca="false">IF(G223="","",G223-N(L223)-N(M223))</f>
        <v/>
      </c>
      <c r="O223" s="8"/>
      <c r="P223" s="7"/>
    </row>
    <row r="224" customFormat="false" ht="15" hidden="false" customHeight="false" outlineLevel="0" collapsed="false">
      <c r="A224" s="7"/>
      <c r="B224" s="8"/>
      <c r="C224" s="7"/>
      <c r="D224" s="7"/>
      <c r="E224" s="7"/>
      <c r="F224" s="7"/>
      <c r="G224" s="9"/>
      <c r="H224" s="9"/>
      <c r="I224" s="7"/>
      <c r="J224" s="10" t="str">
        <f aca="false">IF(I224="","",I224*'Start here'!$B$11)</f>
        <v/>
      </c>
      <c r="K224" s="10" t="str">
        <f aca="false">IF(G224="","",G224-N(H224)-N(J224))</f>
        <v/>
      </c>
      <c r="L224" s="9"/>
      <c r="M224" s="9"/>
      <c r="N224" s="10" t="str">
        <f aca="false">IF(G224="","",G224-N(L224)-N(M224))</f>
        <v/>
      </c>
      <c r="O224" s="8"/>
      <c r="P224" s="7"/>
    </row>
    <row r="225" customFormat="false" ht="15" hidden="false" customHeight="false" outlineLevel="0" collapsed="false">
      <c r="A225" s="7"/>
      <c r="B225" s="8"/>
      <c r="C225" s="7"/>
      <c r="D225" s="7"/>
      <c r="E225" s="7"/>
      <c r="F225" s="7"/>
      <c r="G225" s="9"/>
      <c r="H225" s="9"/>
      <c r="I225" s="7"/>
      <c r="J225" s="10" t="str">
        <f aca="false">IF(I225="","",I225*'Start here'!$B$11)</f>
        <v/>
      </c>
      <c r="K225" s="10" t="str">
        <f aca="false">IF(G225="","",G225-N(H225)-N(J225))</f>
        <v/>
      </c>
      <c r="L225" s="9"/>
      <c r="M225" s="9"/>
      <c r="N225" s="10" t="str">
        <f aca="false">IF(G225="","",G225-N(L225)-N(M225))</f>
        <v/>
      </c>
      <c r="O225" s="8"/>
      <c r="P225" s="7"/>
    </row>
    <row r="226" customFormat="false" ht="15" hidden="false" customHeight="false" outlineLevel="0" collapsed="false">
      <c r="A226" s="7"/>
      <c r="B226" s="8"/>
      <c r="C226" s="7"/>
      <c r="D226" s="7"/>
      <c r="E226" s="7"/>
      <c r="F226" s="7"/>
      <c r="G226" s="9"/>
      <c r="H226" s="9"/>
      <c r="I226" s="7"/>
      <c r="J226" s="10" t="str">
        <f aca="false">IF(I226="","",I226*'Start here'!$B$11)</f>
        <v/>
      </c>
      <c r="K226" s="10" t="str">
        <f aca="false">IF(G226="","",G226-N(H226)-N(J226))</f>
        <v/>
      </c>
      <c r="L226" s="9"/>
      <c r="M226" s="9"/>
      <c r="N226" s="10" t="str">
        <f aca="false">IF(G226="","",G226-N(L226)-N(M226))</f>
        <v/>
      </c>
      <c r="O226" s="8"/>
      <c r="P226" s="7"/>
    </row>
    <row r="227" customFormat="false" ht="15" hidden="false" customHeight="false" outlineLevel="0" collapsed="false">
      <c r="A227" s="7"/>
      <c r="B227" s="8"/>
      <c r="C227" s="7"/>
      <c r="D227" s="7"/>
      <c r="E227" s="7"/>
      <c r="F227" s="7"/>
      <c r="G227" s="9"/>
      <c r="H227" s="9"/>
      <c r="I227" s="7"/>
      <c r="J227" s="10" t="str">
        <f aca="false">IF(I227="","",I227*'Start here'!$B$11)</f>
        <v/>
      </c>
      <c r="K227" s="10" t="str">
        <f aca="false">IF(G227="","",G227-N(H227)-N(J227))</f>
        <v/>
      </c>
      <c r="L227" s="9"/>
      <c r="M227" s="9"/>
      <c r="N227" s="10" t="str">
        <f aca="false">IF(G227="","",G227-N(L227)-N(M227))</f>
        <v/>
      </c>
      <c r="O227" s="8"/>
      <c r="P227" s="7"/>
    </row>
    <row r="228" customFormat="false" ht="15" hidden="false" customHeight="false" outlineLevel="0" collapsed="false">
      <c r="A228" s="7"/>
      <c r="B228" s="8"/>
      <c r="C228" s="7"/>
      <c r="D228" s="7"/>
      <c r="E228" s="7"/>
      <c r="F228" s="7"/>
      <c r="G228" s="9"/>
      <c r="H228" s="9"/>
      <c r="I228" s="7"/>
      <c r="J228" s="10" t="str">
        <f aca="false">IF(I228="","",I228*'Start here'!$B$11)</f>
        <v/>
      </c>
      <c r="K228" s="10" t="str">
        <f aca="false">IF(G228="","",G228-N(H228)-N(J228))</f>
        <v/>
      </c>
      <c r="L228" s="9"/>
      <c r="M228" s="9"/>
      <c r="N228" s="10" t="str">
        <f aca="false">IF(G228="","",G228-N(L228)-N(M228))</f>
        <v/>
      </c>
      <c r="O228" s="8"/>
      <c r="P228" s="7"/>
    </row>
    <row r="229" customFormat="false" ht="15" hidden="false" customHeight="false" outlineLevel="0" collapsed="false">
      <c r="A229" s="7"/>
      <c r="B229" s="8"/>
      <c r="C229" s="7"/>
      <c r="D229" s="7"/>
      <c r="E229" s="7"/>
      <c r="F229" s="7"/>
      <c r="G229" s="9"/>
      <c r="H229" s="9"/>
      <c r="I229" s="7"/>
      <c r="J229" s="10" t="str">
        <f aca="false">IF(I229="","",I229*'Start here'!$B$11)</f>
        <v/>
      </c>
      <c r="K229" s="10" t="str">
        <f aca="false">IF(G229="","",G229-N(H229)-N(J229))</f>
        <v/>
      </c>
      <c r="L229" s="9"/>
      <c r="M229" s="9"/>
      <c r="N229" s="10" t="str">
        <f aca="false">IF(G229="","",G229-N(L229)-N(M229))</f>
        <v/>
      </c>
      <c r="O229" s="8"/>
      <c r="P229" s="7"/>
    </row>
    <row r="230" customFormat="false" ht="15" hidden="false" customHeight="false" outlineLevel="0" collapsed="false">
      <c r="A230" s="7"/>
      <c r="B230" s="8"/>
      <c r="C230" s="7"/>
      <c r="D230" s="7"/>
      <c r="E230" s="7"/>
      <c r="F230" s="7"/>
      <c r="G230" s="9"/>
      <c r="H230" s="9"/>
      <c r="I230" s="7"/>
      <c r="J230" s="10" t="str">
        <f aca="false">IF(I230="","",I230*'Start here'!$B$11)</f>
        <v/>
      </c>
      <c r="K230" s="10" t="str">
        <f aca="false">IF(G230="","",G230-N(H230)-N(J230))</f>
        <v/>
      </c>
      <c r="L230" s="9"/>
      <c r="M230" s="9"/>
      <c r="N230" s="10" t="str">
        <f aca="false">IF(G230="","",G230-N(L230)-N(M230))</f>
        <v/>
      </c>
      <c r="O230" s="8"/>
      <c r="P230" s="7"/>
    </row>
    <row r="231" customFormat="false" ht="15" hidden="false" customHeight="false" outlineLevel="0" collapsed="false">
      <c r="A231" s="7"/>
      <c r="B231" s="8"/>
      <c r="C231" s="7"/>
      <c r="D231" s="7"/>
      <c r="E231" s="7"/>
      <c r="F231" s="7"/>
      <c r="G231" s="9"/>
      <c r="H231" s="9"/>
      <c r="I231" s="7"/>
      <c r="J231" s="10" t="str">
        <f aca="false">IF(I231="","",I231*'Start here'!$B$11)</f>
        <v/>
      </c>
      <c r="K231" s="10" t="str">
        <f aca="false">IF(G231="","",G231-N(H231)-N(J231))</f>
        <v/>
      </c>
      <c r="L231" s="9"/>
      <c r="M231" s="9"/>
      <c r="N231" s="10" t="str">
        <f aca="false">IF(G231="","",G231-N(L231)-N(M231))</f>
        <v/>
      </c>
      <c r="O231" s="8"/>
      <c r="P231" s="7"/>
    </row>
    <row r="232" customFormat="false" ht="15" hidden="false" customHeight="false" outlineLevel="0" collapsed="false">
      <c r="A232" s="7"/>
      <c r="B232" s="8"/>
      <c r="C232" s="7"/>
      <c r="D232" s="7"/>
      <c r="E232" s="7"/>
      <c r="F232" s="7"/>
      <c r="G232" s="9"/>
      <c r="H232" s="9"/>
      <c r="I232" s="7"/>
      <c r="J232" s="10" t="str">
        <f aca="false">IF(I232="","",I232*'Start here'!$B$11)</f>
        <v/>
      </c>
      <c r="K232" s="10" t="str">
        <f aca="false">IF(G232="","",G232-N(H232)-N(J232))</f>
        <v/>
      </c>
      <c r="L232" s="9"/>
      <c r="M232" s="9"/>
      <c r="N232" s="10" t="str">
        <f aca="false">IF(G232="","",G232-N(L232)-N(M232))</f>
        <v/>
      </c>
      <c r="O232" s="8"/>
      <c r="P232" s="7"/>
    </row>
    <row r="233" customFormat="false" ht="15" hidden="false" customHeight="false" outlineLevel="0" collapsed="false">
      <c r="A233" s="7"/>
      <c r="B233" s="8"/>
      <c r="C233" s="7"/>
      <c r="D233" s="7"/>
      <c r="E233" s="7"/>
      <c r="F233" s="7"/>
      <c r="G233" s="9"/>
      <c r="H233" s="9"/>
      <c r="I233" s="7"/>
      <c r="J233" s="10" t="str">
        <f aca="false">IF(I233="","",I233*'Start here'!$B$11)</f>
        <v/>
      </c>
      <c r="K233" s="10" t="str">
        <f aca="false">IF(G233="","",G233-N(H233)-N(J233))</f>
        <v/>
      </c>
      <c r="L233" s="9"/>
      <c r="M233" s="9"/>
      <c r="N233" s="10" t="str">
        <f aca="false">IF(G233="","",G233-N(L233)-N(M233))</f>
        <v/>
      </c>
      <c r="O233" s="8"/>
      <c r="P233" s="7"/>
    </row>
    <row r="234" customFormat="false" ht="15" hidden="false" customHeight="false" outlineLevel="0" collapsed="false">
      <c r="A234" s="7"/>
      <c r="B234" s="8"/>
      <c r="C234" s="7"/>
      <c r="D234" s="7"/>
      <c r="E234" s="7"/>
      <c r="F234" s="7"/>
      <c r="G234" s="9"/>
      <c r="H234" s="9"/>
      <c r="I234" s="7"/>
      <c r="J234" s="10" t="str">
        <f aca="false">IF(I234="","",I234*'Start here'!$B$11)</f>
        <v/>
      </c>
      <c r="K234" s="10" t="str">
        <f aca="false">IF(G234="","",G234-N(H234)-N(J234))</f>
        <v/>
      </c>
      <c r="L234" s="9"/>
      <c r="M234" s="9"/>
      <c r="N234" s="10" t="str">
        <f aca="false">IF(G234="","",G234-N(L234)-N(M234))</f>
        <v/>
      </c>
      <c r="O234" s="8"/>
      <c r="P234" s="7"/>
    </row>
    <row r="235" customFormat="false" ht="15" hidden="false" customHeight="false" outlineLevel="0" collapsed="false">
      <c r="A235" s="7"/>
      <c r="B235" s="8"/>
      <c r="C235" s="7"/>
      <c r="D235" s="7"/>
      <c r="E235" s="7"/>
      <c r="F235" s="7"/>
      <c r="G235" s="9"/>
      <c r="H235" s="9"/>
      <c r="I235" s="7"/>
      <c r="J235" s="10" t="str">
        <f aca="false">IF(I235="","",I235*'Start here'!$B$11)</f>
        <v/>
      </c>
      <c r="K235" s="10" t="str">
        <f aca="false">IF(G235="","",G235-N(H235)-N(J235))</f>
        <v/>
      </c>
      <c r="L235" s="9"/>
      <c r="M235" s="9"/>
      <c r="N235" s="10" t="str">
        <f aca="false">IF(G235="","",G235-N(L235)-N(M235))</f>
        <v/>
      </c>
      <c r="O235" s="8"/>
      <c r="P235" s="7"/>
    </row>
    <row r="236" customFormat="false" ht="15" hidden="false" customHeight="false" outlineLevel="0" collapsed="false">
      <c r="A236" s="7"/>
      <c r="B236" s="8"/>
      <c r="C236" s="7"/>
      <c r="D236" s="7"/>
      <c r="E236" s="7"/>
      <c r="F236" s="7"/>
      <c r="G236" s="9"/>
      <c r="H236" s="9"/>
      <c r="I236" s="7"/>
      <c r="J236" s="10" t="str">
        <f aca="false">IF(I236="","",I236*'Start here'!$B$11)</f>
        <v/>
      </c>
      <c r="K236" s="10" t="str">
        <f aca="false">IF(G236="","",G236-N(H236)-N(J236))</f>
        <v/>
      </c>
      <c r="L236" s="9"/>
      <c r="M236" s="9"/>
      <c r="N236" s="10" t="str">
        <f aca="false">IF(G236="","",G236-N(L236)-N(M236))</f>
        <v/>
      </c>
      <c r="O236" s="8"/>
      <c r="P236" s="7"/>
    </row>
    <row r="237" customFormat="false" ht="15" hidden="false" customHeight="false" outlineLevel="0" collapsed="false">
      <c r="A237" s="7"/>
      <c r="B237" s="8"/>
      <c r="C237" s="7"/>
      <c r="D237" s="7"/>
      <c r="E237" s="7"/>
      <c r="F237" s="7"/>
      <c r="G237" s="9"/>
      <c r="H237" s="9"/>
      <c r="I237" s="7"/>
      <c r="J237" s="10" t="str">
        <f aca="false">IF(I237="","",I237*'Start here'!$B$11)</f>
        <v/>
      </c>
      <c r="K237" s="10" t="str">
        <f aca="false">IF(G237="","",G237-N(H237)-N(J237))</f>
        <v/>
      </c>
      <c r="L237" s="9"/>
      <c r="M237" s="9"/>
      <c r="N237" s="10" t="str">
        <f aca="false">IF(G237="","",G237-N(L237)-N(M237))</f>
        <v/>
      </c>
      <c r="O237" s="8"/>
      <c r="P237" s="7"/>
    </row>
    <row r="238" customFormat="false" ht="15" hidden="false" customHeight="false" outlineLevel="0" collapsed="false">
      <c r="A238" s="7"/>
      <c r="B238" s="8"/>
      <c r="C238" s="7"/>
      <c r="D238" s="7"/>
      <c r="E238" s="7"/>
      <c r="F238" s="7"/>
      <c r="G238" s="9"/>
      <c r="H238" s="9"/>
      <c r="I238" s="7"/>
      <c r="J238" s="10" t="str">
        <f aca="false">IF(I238="","",I238*'Start here'!$B$11)</f>
        <v/>
      </c>
      <c r="K238" s="10" t="str">
        <f aca="false">IF(G238="","",G238-N(H238)-N(J238))</f>
        <v/>
      </c>
      <c r="L238" s="9"/>
      <c r="M238" s="9"/>
      <c r="N238" s="10" t="str">
        <f aca="false">IF(G238="","",G238-N(L238)-N(M238))</f>
        <v/>
      </c>
      <c r="O238" s="8"/>
      <c r="P238" s="7"/>
    </row>
    <row r="239" customFormat="false" ht="15" hidden="false" customHeight="false" outlineLevel="0" collapsed="false">
      <c r="A239" s="7"/>
      <c r="B239" s="8"/>
      <c r="C239" s="7"/>
      <c r="D239" s="7"/>
      <c r="E239" s="7"/>
      <c r="F239" s="7"/>
      <c r="G239" s="9"/>
      <c r="H239" s="9"/>
      <c r="I239" s="7"/>
      <c r="J239" s="10" t="str">
        <f aca="false">IF(I239="","",I239*'Start here'!$B$11)</f>
        <v/>
      </c>
      <c r="K239" s="10" t="str">
        <f aca="false">IF(G239="","",G239-N(H239)-N(J239))</f>
        <v/>
      </c>
      <c r="L239" s="9"/>
      <c r="M239" s="9"/>
      <c r="N239" s="10" t="str">
        <f aca="false">IF(G239="","",G239-N(L239)-N(M239))</f>
        <v/>
      </c>
      <c r="O239" s="8"/>
      <c r="P239" s="7"/>
    </row>
    <row r="240" customFormat="false" ht="15" hidden="false" customHeight="false" outlineLevel="0" collapsed="false">
      <c r="A240" s="7"/>
      <c r="B240" s="8"/>
      <c r="C240" s="7"/>
      <c r="D240" s="7"/>
      <c r="E240" s="7"/>
      <c r="F240" s="7"/>
      <c r="G240" s="9"/>
      <c r="H240" s="9"/>
      <c r="I240" s="7"/>
      <c r="J240" s="10" t="str">
        <f aca="false">IF(I240="","",I240*'Start here'!$B$11)</f>
        <v/>
      </c>
      <c r="K240" s="10" t="str">
        <f aca="false">IF(G240="","",G240-N(H240)-N(J240))</f>
        <v/>
      </c>
      <c r="L240" s="9"/>
      <c r="M240" s="9"/>
      <c r="N240" s="10" t="str">
        <f aca="false">IF(G240="","",G240-N(L240)-N(M240))</f>
        <v/>
      </c>
      <c r="O240" s="8"/>
      <c r="P240" s="7"/>
    </row>
    <row r="241" customFormat="false" ht="15" hidden="false" customHeight="false" outlineLevel="0" collapsed="false">
      <c r="A241" s="7"/>
      <c r="B241" s="8"/>
      <c r="C241" s="7"/>
      <c r="D241" s="7"/>
      <c r="E241" s="7"/>
      <c r="F241" s="7"/>
      <c r="G241" s="9"/>
      <c r="H241" s="9"/>
      <c r="I241" s="7"/>
      <c r="J241" s="10" t="str">
        <f aca="false">IF(I241="","",I241*'Start here'!$B$11)</f>
        <v/>
      </c>
      <c r="K241" s="10" t="str">
        <f aca="false">IF(G241="","",G241-N(H241)-N(J241))</f>
        <v/>
      </c>
      <c r="L241" s="9"/>
      <c r="M241" s="9"/>
      <c r="N241" s="10" t="str">
        <f aca="false">IF(G241="","",G241-N(L241)-N(M241))</f>
        <v/>
      </c>
      <c r="O241" s="8"/>
      <c r="P241" s="7"/>
    </row>
    <row r="242" customFormat="false" ht="15" hidden="false" customHeight="false" outlineLevel="0" collapsed="false">
      <c r="A242" s="7"/>
      <c r="B242" s="8"/>
      <c r="C242" s="7"/>
      <c r="D242" s="7"/>
      <c r="E242" s="7"/>
      <c r="F242" s="7"/>
      <c r="G242" s="9"/>
      <c r="H242" s="9"/>
      <c r="I242" s="7"/>
      <c r="J242" s="10" t="str">
        <f aca="false">IF(I242="","",I242*'Start here'!$B$11)</f>
        <v/>
      </c>
      <c r="K242" s="10" t="str">
        <f aca="false">IF(G242="","",G242-N(H242)-N(J242))</f>
        <v/>
      </c>
      <c r="L242" s="9"/>
      <c r="M242" s="9"/>
      <c r="N242" s="10" t="str">
        <f aca="false">IF(G242="","",G242-N(L242)-N(M242))</f>
        <v/>
      </c>
      <c r="O242" s="8"/>
      <c r="P242" s="7"/>
    </row>
    <row r="243" customFormat="false" ht="15" hidden="false" customHeight="false" outlineLevel="0" collapsed="false">
      <c r="A243" s="7"/>
      <c r="B243" s="8"/>
      <c r="C243" s="7"/>
      <c r="D243" s="7"/>
      <c r="E243" s="7"/>
      <c r="F243" s="7"/>
      <c r="G243" s="9"/>
      <c r="H243" s="9"/>
      <c r="I243" s="7"/>
      <c r="J243" s="10" t="str">
        <f aca="false">IF(I243="","",I243*'Start here'!$B$11)</f>
        <v/>
      </c>
      <c r="K243" s="10" t="str">
        <f aca="false">IF(G243="","",G243-N(H243)-N(J243))</f>
        <v/>
      </c>
      <c r="L243" s="9"/>
      <c r="M243" s="9"/>
      <c r="N243" s="10" t="str">
        <f aca="false">IF(G243="","",G243-N(L243)-N(M243))</f>
        <v/>
      </c>
      <c r="O243" s="8"/>
      <c r="P243" s="7"/>
    </row>
    <row r="244" customFormat="false" ht="15" hidden="false" customHeight="false" outlineLevel="0" collapsed="false">
      <c r="A244" s="7"/>
      <c r="B244" s="8"/>
      <c r="C244" s="7"/>
      <c r="D244" s="7"/>
      <c r="E244" s="7"/>
      <c r="F244" s="7"/>
      <c r="G244" s="9"/>
      <c r="H244" s="9"/>
      <c r="I244" s="7"/>
      <c r="J244" s="10" t="str">
        <f aca="false">IF(I244="","",I244*'Start here'!$B$11)</f>
        <v/>
      </c>
      <c r="K244" s="10" t="str">
        <f aca="false">IF(G244="","",G244-N(H244)-N(J244))</f>
        <v/>
      </c>
      <c r="L244" s="9"/>
      <c r="M244" s="9"/>
      <c r="N244" s="10" t="str">
        <f aca="false">IF(G244="","",G244-N(L244)-N(M244))</f>
        <v/>
      </c>
      <c r="O244" s="8"/>
      <c r="P244" s="7"/>
    </row>
    <row r="245" customFormat="false" ht="15" hidden="false" customHeight="false" outlineLevel="0" collapsed="false">
      <c r="A245" s="7"/>
      <c r="B245" s="8"/>
      <c r="C245" s="7"/>
      <c r="D245" s="7"/>
      <c r="E245" s="7"/>
      <c r="F245" s="7"/>
      <c r="G245" s="9"/>
      <c r="H245" s="9"/>
      <c r="I245" s="7"/>
      <c r="J245" s="10" t="str">
        <f aca="false">IF(I245="","",I245*'Start here'!$B$11)</f>
        <v/>
      </c>
      <c r="K245" s="10" t="str">
        <f aca="false">IF(G245="","",G245-N(H245)-N(J245))</f>
        <v/>
      </c>
      <c r="L245" s="9"/>
      <c r="M245" s="9"/>
      <c r="N245" s="10" t="str">
        <f aca="false">IF(G245="","",G245-N(L245)-N(M245))</f>
        <v/>
      </c>
      <c r="O245" s="8"/>
      <c r="P245" s="7"/>
    </row>
    <row r="246" customFormat="false" ht="15" hidden="false" customHeight="false" outlineLevel="0" collapsed="false">
      <c r="A246" s="7"/>
      <c r="B246" s="8"/>
      <c r="C246" s="7"/>
      <c r="D246" s="7"/>
      <c r="E246" s="7"/>
      <c r="F246" s="7"/>
      <c r="G246" s="9"/>
      <c r="H246" s="9"/>
      <c r="I246" s="7"/>
      <c r="J246" s="10" t="str">
        <f aca="false">IF(I246="","",I246*'Start here'!$B$11)</f>
        <v/>
      </c>
      <c r="K246" s="10" t="str">
        <f aca="false">IF(G246="","",G246-N(H246)-N(J246))</f>
        <v/>
      </c>
      <c r="L246" s="9"/>
      <c r="M246" s="9"/>
      <c r="N246" s="10" t="str">
        <f aca="false">IF(G246="","",G246-N(L246)-N(M246))</f>
        <v/>
      </c>
      <c r="O246" s="8"/>
      <c r="P246" s="7"/>
    </row>
    <row r="247" customFormat="false" ht="15" hidden="false" customHeight="false" outlineLevel="0" collapsed="false">
      <c r="A247" s="7"/>
      <c r="B247" s="8"/>
      <c r="C247" s="7"/>
      <c r="D247" s="7"/>
      <c r="E247" s="7"/>
      <c r="F247" s="7"/>
      <c r="G247" s="9"/>
      <c r="H247" s="9"/>
      <c r="I247" s="7"/>
      <c r="J247" s="10" t="str">
        <f aca="false">IF(I247="","",I247*'Start here'!$B$11)</f>
        <v/>
      </c>
      <c r="K247" s="10" t="str">
        <f aca="false">IF(G247="","",G247-N(H247)-N(J247))</f>
        <v/>
      </c>
      <c r="L247" s="9"/>
      <c r="M247" s="9"/>
      <c r="N247" s="10" t="str">
        <f aca="false">IF(G247="","",G247-N(L247)-N(M247))</f>
        <v/>
      </c>
      <c r="O247" s="8"/>
      <c r="P247" s="7"/>
    </row>
    <row r="248" customFormat="false" ht="15" hidden="false" customHeight="false" outlineLevel="0" collapsed="false">
      <c r="A248" s="7"/>
      <c r="B248" s="8"/>
      <c r="C248" s="7"/>
      <c r="D248" s="7"/>
      <c r="E248" s="7"/>
      <c r="F248" s="7"/>
      <c r="G248" s="9"/>
      <c r="H248" s="9"/>
      <c r="I248" s="7"/>
      <c r="J248" s="10" t="str">
        <f aca="false">IF(I248="","",I248*'Start here'!$B$11)</f>
        <v/>
      </c>
      <c r="K248" s="10" t="str">
        <f aca="false">IF(G248="","",G248-N(H248)-N(J248))</f>
        <v/>
      </c>
      <c r="L248" s="9"/>
      <c r="M248" s="9"/>
      <c r="N248" s="10" t="str">
        <f aca="false">IF(G248="","",G248-N(L248)-N(M248))</f>
        <v/>
      </c>
      <c r="O248" s="8"/>
      <c r="P248" s="7"/>
    </row>
    <row r="249" customFormat="false" ht="15" hidden="false" customHeight="false" outlineLevel="0" collapsed="false">
      <c r="A249" s="7"/>
      <c r="B249" s="8"/>
      <c r="C249" s="7"/>
      <c r="D249" s="7"/>
      <c r="E249" s="7"/>
      <c r="F249" s="7"/>
      <c r="G249" s="9"/>
      <c r="H249" s="9"/>
      <c r="I249" s="7"/>
      <c r="J249" s="10" t="str">
        <f aca="false">IF(I249="","",I249*'Start here'!$B$11)</f>
        <v/>
      </c>
      <c r="K249" s="10" t="str">
        <f aca="false">IF(G249="","",G249-N(H249)-N(J249))</f>
        <v/>
      </c>
      <c r="L249" s="9"/>
      <c r="M249" s="9"/>
      <c r="N249" s="10" t="str">
        <f aca="false">IF(G249="","",G249-N(L249)-N(M249))</f>
        <v/>
      </c>
      <c r="O249" s="8"/>
      <c r="P249" s="7"/>
    </row>
    <row r="250" customFormat="false" ht="15" hidden="false" customHeight="false" outlineLevel="0" collapsed="false">
      <c r="A250" s="7"/>
      <c r="B250" s="8"/>
      <c r="C250" s="7"/>
      <c r="D250" s="7"/>
      <c r="E250" s="7"/>
      <c r="F250" s="7"/>
      <c r="G250" s="9"/>
      <c r="H250" s="9"/>
      <c r="I250" s="7"/>
      <c r="J250" s="10" t="str">
        <f aca="false">IF(I250="","",I250*'Start here'!$B$11)</f>
        <v/>
      </c>
      <c r="K250" s="10" t="str">
        <f aca="false">IF(G250="","",G250-N(H250)-N(J250))</f>
        <v/>
      </c>
      <c r="L250" s="9"/>
      <c r="M250" s="9"/>
      <c r="N250" s="10" t="str">
        <f aca="false">IF(G250="","",G250-N(L250)-N(M250))</f>
        <v/>
      </c>
      <c r="O250" s="8"/>
      <c r="P250" s="7"/>
    </row>
    <row r="251" customFormat="false" ht="15" hidden="false" customHeight="false" outlineLevel="0" collapsed="false">
      <c r="A251" s="7"/>
      <c r="B251" s="8"/>
      <c r="C251" s="7"/>
      <c r="D251" s="7"/>
      <c r="E251" s="7"/>
      <c r="F251" s="7"/>
      <c r="G251" s="9"/>
      <c r="H251" s="9"/>
      <c r="I251" s="7"/>
      <c r="J251" s="10" t="str">
        <f aca="false">IF(I251="","",I251*'Start here'!$B$11)</f>
        <v/>
      </c>
      <c r="K251" s="10" t="str">
        <f aca="false">IF(G251="","",G251-N(H251)-N(J251))</f>
        <v/>
      </c>
      <c r="L251" s="9"/>
      <c r="M251" s="9"/>
      <c r="N251" s="10" t="str">
        <f aca="false">IF(G251="","",G251-N(L251)-N(M251))</f>
        <v/>
      </c>
      <c r="O251" s="8"/>
      <c r="P251" s="7"/>
    </row>
    <row r="252" customFormat="false" ht="15" hidden="false" customHeight="false" outlineLevel="0" collapsed="false">
      <c r="A252" s="7"/>
      <c r="B252" s="8"/>
      <c r="C252" s="7"/>
      <c r="D252" s="7"/>
      <c r="E252" s="7"/>
      <c r="F252" s="7"/>
      <c r="G252" s="9"/>
      <c r="H252" s="9"/>
      <c r="I252" s="7"/>
      <c r="J252" s="10" t="str">
        <f aca="false">IF(I252="","",I252*'Start here'!$B$11)</f>
        <v/>
      </c>
      <c r="K252" s="10" t="str">
        <f aca="false">IF(G252="","",G252-N(H252)-N(J252))</f>
        <v/>
      </c>
      <c r="L252" s="9"/>
      <c r="M252" s="9"/>
      <c r="N252" s="10" t="str">
        <f aca="false">IF(G252="","",G252-N(L252)-N(M252))</f>
        <v/>
      </c>
      <c r="O252" s="8"/>
      <c r="P252" s="7"/>
    </row>
    <row r="253" customFormat="false" ht="15" hidden="false" customHeight="false" outlineLevel="0" collapsed="false">
      <c r="A253" s="7"/>
      <c r="B253" s="8"/>
      <c r="C253" s="7"/>
      <c r="D253" s="7"/>
      <c r="E253" s="7"/>
      <c r="F253" s="7"/>
      <c r="G253" s="9"/>
      <c r="H253" s="9"/>
      <c r="I253" s="7"/>
      <c r="J253" s="10" t="str">
        <f aca="false">IF(I253="","",I253*'Start here'!$B$11)</f>
        <v/>
      </c>
      <c r="K253" s="10" t="str">
        <f aca="false">IF(G253="","",G253-N(H253)-N(J253))</f>
        <v/>
      </c>
      <c r="L253" s="9"/>
      <c r="M253" s="9"/>
      <c r="N253" s="10" t="str">
        <f aca="false">IF(G253="","",G253-N(L253)-N(M253))</f>
        <v/>
      </c>
      <c r="O253" s="8"/>
      <c r="P253" s="7"/>
    </row>
    <row r="254" customFormat="false" ht="15" hidden="false" customHeight="false" outlineLevel="0" collapsed="false">
      <c r="A254" s="7"/>
      <c r="B254" s="8"/>
      <c r="C254" s="7"/>
      <c r="D254" s="7"/>
      <c r="E254" s="7"/>
      <c r="F254" s="7"/>
      <c r="G254" s="9"/>
      <c r="H254" s="9"/>
      <c r="I254" s="7"/>
      <c r="J254" s="10" t="str">
        <f aca="false">IF(I254="","",I254*'Start here'!$B$11)</f>
        <v/>
      </c>
      <c r="K254" s="10" t="str">
        <f aca="false">IF(G254="","",G254-N(H254)-N(J254))</f>
        <v/>
      </c>
      <c r="L254" s="9"/>
      <c r="M254" s="9"/>
      <c r="N254" s="10" t="str">
        <f aca="false">IF(G254="","",G254-N(L254)-N(M254))</f>
        <v/>
      </c>
      <c r="O254" s="8"/>
      <c r="P254" s="7"/>
    </row>
    <row r="255" customFormat="false" ht="15" hidden="false" customHeight="false" outlineLevel="0" collapsed="false">
      <c r="A255" s="7"/>
      <c r="B255" s="8"/>
      <c r="C255" s="7"/>
      <c r="D255" s="7"/>
      <c r="E255" s="7"/>
      <c r="F255" s="7"/>
      <c r="G255" s="9"/>
      <c r="H255" s="9"/>
      <c r="I255" s="7"/>
      <c r="J255" s="10" t="str">
        <f aca="false">IF(I255="","",I255*'Start here'!$B$11)</f>
        <v/>
      </c>
      <c r="K255" s="10" t="str">
        <f aca="false">IF(G255="","",G255-N(H255)-N(J255))</f>
        <v/>
      </c>
      <c r="L255" s="9"/>
      <c r="M255" s="9"/>
      <c r="N255" s="10" t="str">
        <f aca="false">IF(G255="","",G255-N(L255)-N(M255))</f>
        <v/>
      </c>
      <c r="O255" s="8"/>
      <c r="P255" s="7"/>
    </row>
    <row r="256" customFormat="false" ht="15" hidden="false" customHeight="false" outlineLevel="0" collapsed="false">
      <c r="A256" s="7"/>
      <c r="B256" s="8"/>
      <c r="C256" s="7"/>
      <c r="D256" s="7"/>
      <c r="E256" s="7"/>
      <c r="F256" s="7"/>
      <c r="G256" s="9"/>
      <c r="H256" s="9"/>
      <c r="I256" s="7"/>
      <c r="J256" s="10" t="str">
        <f aca="false">IF(I256="","",I256*'Start here'!$B$11)</f>
        <v/>
      </c>
      <c r="K256" s="10" t="str">
        <f aca="false">IF(G256="","",G256-N(H256)-N(J256))</f>
        <v/>
      </c>
      <c r="L256" s="9"/>
      <c r="M256" s="9"/>
      <c r="N256" s="10" t="str">
        <f aca="false">IF(G256="","",G256-N(L256)-N(M256))</f>
        <v/>
      </c>
      <c r="O256" s="8"/>
      <c r="P256" s="7"/>
    </row>
    <row r="257" customFormat="false" ht="15" hidden="false" customHeight="false" outlineLevel="0" collapsed="false">
      <c r="A257" s="7"/>
      <c r="B257" s="8"/>
      <c r="C257" s="7"/>
      <c r="D257" s="7"/>
      <c r="E257" s="7"/>
      <c r="F257" s="7"/>
      <c r="G257" s="9"/>
      <c r="H257" s="9"/>
      <c r="I257" s="7"/>
      <c r="J257" s="10" t="str">
        <f aca="false">IF(I257="","",I257*'Start here'!$B$11)</f>
        <v/>
      </c>
      <c r="K257" s="10" t="str">
        <f aca="false">IF(G257="","",G257-N(H257)-N(J257))</f>
        <v/>
      </c>
      <c r="L257" s="9"/>
      <c r="M257" s="9"/>
      <c r="N257" s="10" t="str">
        <f aca="false">IF(G257="","",G257-N(L257)-N(M257))</f>
        <v/>
      </c>
      <c r="O257" s="8"/>
      <c r="P257" s="7"/>
    </row>
    <row r="258" customFormat="false" ht="15" hidden="false" customHeight="false" outlineLevel="0" collapsed="false">
      <c r="A258" s="7"/>
      <c r="B258" s="8"/>
      <c r="C258" s="7"/>
      <c r="D258" s="7"/>
      <c r="E258" s="7"/>
      <c r="F258" s="7"/>
      <c r="G258" s="9"/>
      <c r="H258" s="9"/>
      <c r="I258" s="7"/>
      <c r="J258" s="10" t="str">
        <f aca="false">IF(I258="","",I258*'Start here'!$B$11)</f>
        <v/>
      </c>
      <c r="K258" s="10" t="str">
        <f aca="false">IF(G258="","",G258-N(H258)-N(J258))</f>
        <v/>
      </c>
      <c r="L258" s="9"/>
      <c r="M258" s="9"/>
      <c r="N258" s="10" t="str">
        <f aca="false">IF(G258="","",G258-N(L258)-N(M258))</f>
        <v/>
      </c>
      <c r="O258" s="8"/>
      <c r="P258" s="7"/>
    </row>
    <row r="259" customFormat="false" ht="15" hidden="false" customHeight="false" outlineLevel="0" collapsed="false">
      <c r="A259" s="7"/>
      <c r="B259" s="8"/>
      <c r="C259" s="7"/>
      <c r="D259" s="7"/>
      <c r="E259" s="7"/>
      <c r="F259" s="7"/>
      <c r="G259" s="9"/>
      <c r="H259" s="9"/>
      <c r="I259" s="7"/>
      <c r="J259" s="10" t="str">
        <f aca="false">IF(I259="","",I259*'Start here'!$B$11)</f>
        <v/>
      </c>
      <c r="K259" s="10" t="str">
        <f aca="false">IF(G259="","",G259-N(H259)-N(J259))</f>
        <v/>
      </c>
      <c r="L259" s="9"/>
      <c r="M259" s="9"/>
      <c r="N259" s="10" t="str">
        <f aca="false">IF(G259="","",G259-N(L259)-N(M259))</f>
        <v/>
      </c>
      <c r="O259" s="8"/>
      <c r="P259" s="7"/>
    </row>
    <row r="260" customFormat="false" ht="15" hidden="false" customHeight="false" outlineLevel="0" collapsed="false">
      <c r="A260" s="7"/>
      <c r="B260" s="8"/>
      <c r="C260" s="7"/>
      <c r="D260" s="7"/>
      <c r="E260" s="7"/>
      <c r="F260" s="7"/>
      <c r="G260" s="9"/>
      <c r="H260" s="9"/>
      <c r="I260" s="7"/>
      <c r="J260" s="10" t="str">
        <f aca="false">IF(I260="","",I260*'Start here'!$B$11)</f>
        <v/>
      </c>
      <c r="K260" s="10" t="str">
        <f aca="false">IF(G260="","",G260-N(H260)-N(J260))</f>
        <v/>
      </c>
      <c r="L260" s="9"/>
      <c r="M260" s="9"/>
      <c r="N260" s="10" t="str">
        <f aca="false">IF(G260="","",G260-N(L260)-N(M260))</f>
        <v/>
      </c>
      <c r="O260" s="8"/>
      <c r="P260" s="7"/>
    </row>
    <row r="261" customFormat="false" ht="15" hidden="false" customHeight="false" outlineLevel="0" collapsed="false">
      <c r="A261" s="7"/>
      <c r="B261" s="8"/>
      <c r="C261" s="7"/>
      <c r="D261" s="7"/>
      <c r="E261" s="7"/>
      <c r="F261" s="7"/>
      <c r="G261" s="9"/>
      <c r="H261" s="9"/>
      <c r="I261" s="7"/>
      <c r="J261" s="10" t="str">
        <f aca="false">IF(I261="","",I261*'Start here'!$B$11)</f>
        <v/>
      </c>
      <c r="K261" s="10" t="str">
        <f aca="false">IF(G261="","",G261-N(H261)-N(J261))</f>
        <v/>
      </c>
      <c r="L261" s="9"/>
      <c r="M261" s="9"/>
      <c r="N261" s="10" t="str">
        <f aca="false">IF(G261="","",G261-N(L261)-N(M261))</f>
        <v/>
      </c>
      <c r="O261" s="8"/>
      <c r="P261" s="7"/>
    </row>
    <row r="262" customFormat="false" ht="15" hidden="false" customHeight="false" outlineLevel="0" collapsed="false">
      <c r="A262" s="7"/>
      <c r="B262" s="8"/>
      <c r="C262" s="7"/>
      <c r="D262" s="7"/>
      <c r="E262" s="7"/>
      <c r="F262" s="7"/>
      <c r="G262" s="9"/>
      <c r="H262" s="9"/>
      <c r="I262" s="7"/>
      <c r="J262" s="10" t="str">
        <f aca="false">IF(I262="","",I262*'Start here'!$B$11)</f>
        <v/>
      </c>
      <c r="K262" s="10" t="str">
        <f aca="false">IF(G262="","",G262-N(H262)-N(J262))</f>
        <v/>
      </c>
      <c r="L262" s="9"/>
      <c r="M262" s="9"/>
      <c r="N262" s="10" t="str">
        <f aca="false">IF(G262="","",G262-N(L262)-N(M262))</f>
        <v/>
      </c>
      <c r="O262" s="8"/>
      <c r="P262" s="7"/>
    </row>
    <row r="263" customFormat="false" ht="15" hidden="false" customHeight="false" outlineLevel="0" collapsed="false">
      <c r="A263" s="7"/>
      <c r="B263" s="8"/>
      <c r="C263" s="7"/>
      <c r="D263" s="7"/>
      <c r="E263" s="7"/>
      <c r="F263" s="7"/>
      <c r="G263" s="9"/>
      <c r="H263" s="9"/>
      <c r="I263" s="7"/>
      <c r="J263" s="10" t="str">
        <f aca="false">IF(I263="","",I263*'Start here'!$B$11)</f>
        <v/>
      </c>
      <c r="K263" s="10" t="str">
        <f aca="false">IF(G263="","",G263-N(H263)-N(J263))</f>
        <v/>
      </c>
      <c r="L263" s="9"/>
      <c r="M263" s="9"/>
      <c r="N263" s="10" t="str">
        <f aca="false">IF(G263="","",G263-N(L263)-N(M263))</f>
        <v/>
      </c>
      <c r="O263" s="8"/>
      <c r="P263" s="7"/>
    </row>
    <row r="264" customFormat="false" ht="15" hidden="false" customHeight="false" outlineLevel="0" collapsed="false">
      <c r="A264" s="7"/>
      <c r="B264" s="8"/>
      <c r="C264" s="7"/>
      <c r="D264" s="7"/>
      <c r="E264" s="7"/>
      <c r="F264" s="7"/>
      <c r="G264" s="9"/>
      <c r="H264" s="9"/>
      <c r="I264" s="7"/>
      <c r="J264" s="10" t="str">
        <f aca="false">IF(I264="","",I264*'Start here'!$B$11)</f>
        <v/>
      </c>
      <c r="K264" s="10" t="str">
        <f aca="false">IF(G264="","",G264-N(H264)-N(J264))</f>
        <v/>
      </c>
      <c r="L264" s="9"/>
      <c r="M264" s="9"/>
      <c r="N264" s="10" t="str">
        <f aca="false">IF(G264="","",G264-N(L264)-N(M264))</f>
        <v/>
      </c>
      <c r="O264" s="8"/>
      <c r="P264" s="7"/>
    </row>
    <row r="265" customFormat="false" ht="15" hidden="false" customHeight="false" outlineLevel="0" collapsed="false">
      <c r="A265" s="7"/>
      <c r="B265" s="8"/>
      <c r="C265" s="7"/>
      <c r="D265" s="7"/>
      <c r="E265" s="7"/>
      <c r="F265" s="7"/>
      <c r="G265" s="9"/>
      <c r="H265" s="9"/>
      <c r="I265" s="7"/>
      <c r="J265" s="10" t="str">
        <f aca="false">IF(I265="","",I265*'Start here'!$B$11)</f>
        <v/>
      </c>
      <c r="K265" s="10" t="str">
        <f aca="false">IF(G265="","",G265-N(H265)-N(J265))</f>
        <v/>
      </c>
      <c r="L265" s="9"/>
      <c r="M265" s="9"/>
      <c r="N265" s="10" t="str">
        <f aca="false">IF(G265="","",G265-N(L265)-N(M265))</f>
        <v/>
      </c>
      <c r="O265" s="8"/>
      <c r="P265" s="7"/>
    </row>
    <row r="266" customFormat="false" ht="15" hidden="false" customHeight="false" outlineLevel="0" collapsed="false">
      <c r="A266" s="7"/>
      <c r="B266" s="8"/>
      <c r="C266" s="7"/>
      <c r="D266" s="7"/>
      <c r="E266" s="7"/>
      <c r="F266" s="7"/>
      <c r="G266" s="9"/>
      <c r="H266" s="9"/>
      <c r="I266" s="7"/>
      <c r="J266" s="10" t="str">
        <f aca="false">IF(I266="","",I266*'Start here'!$B$11)</f>
        <v/>
      </c>
      <c r="K266" s="10" t="str">
        <f aca="false">IF(G266="","",G266-N(H266)-N(J266))</f>
        <v/>
      </c>
      <c r="L266" s="9"/>
      <c r="M266" s="9"/>
      <c r="N266" s="10" t="str">
        <f aca="false">IF(G266="","",G266-N(L266)-N(M266))</f>
        <v/>
      </c>
      <c r="O266" s="8"/>
      <c r="P266" s="7"/>
    </row>
    <row r="267" customFormat="false" ht="15" hidden="false" customHeight="false" outlineLevel="0" collapsed="false">
      <c r="A267" s="7"/>
      <c r="B267" s="8"/>
      <c r="C267" s="7"/>
      <c r="D267" s="7"/>
      <c r="E267" s="7"/>
      <c r="F267" s="7"/>
      <c r="G267" s="9"/>
      <c r="H267" s="9"/>
      <c r="I267" s="7"/>
      <c r="J267" s="10" t="str">
        <f aca="false">IF(I267="","",I267*'Start here'!$B$11)</f>
        <v/>
      </c>
      <c r="K267" s="10" t="str">
        <f aca="false">IF(G267="","",G267-N(H267)-N(J267))</f>
        <v/>
      </c>
      <c r="L267" s="9"/>
      <c r="M267" s="9"/>
      <c r="N267" s="10" t="str">
        <f aca="false">IF(G267="","",G267-N(L267)-N(M267))</f>
        <v/>
      </c>
      <c r="O267" s="8"/>
      <c r="P267" s="7"/>
    </row>
    <row r="268" customFormat="false" ht="15" hidden="false" customHeight="false" outlineLevel="0" collapsed="false">
      <c r="A268" s="7"/>
      <c r="B268" s="8"/>
      <c r="C268" s="7"/>
      <c r="D268" s="7"/>
      <c r="E268" s="7"/>
      <c r="F268" s="7"/>
      <c r="G268" s="9"/>
      <c r="H268" s="9"/>
      <c r="I268" s="7"/>
      <c r="J268" s="10" t="str">
        <f aca="false">IF(I268="","",I268*'Start here'!$B$11)</f>
        <v/>
      </c>
      <c r="K268" s="10" t="str">
        <f aca="false">IF(G268="","",G268-N(H268)-N(J268))</f>
        <v/>
      </c>
      <c r="L268" s="9"/>
      <c r="M268" s="9"/>
      <c r="N268" s="10" t="str">
        <f aca="false">IF(G268="","",G268-N(L268)-N(M268))</f>
        <v/>
      </c>
      <c r="O268" s="8"/>
      <c r="P268" s="7"/>
    </row>
    <row r="269" customFormat="false" ht="15" hidden="false" customHeight="false" outlineLevel="0" collapsed="false">
      <c r="A269" s="7"/>
      <c r="B269" s="8"/>
      <c r="C269" s="7"/>
      <c r="D269" s="7"/>
      <c r="E269" s="7"/>
      <c r="F269" s="7"/>
      <c r="G269" s="9"/>
      <c r="H269" s="9"/>
      <c r="I269" s="7"/>
      <c r="J269" s="10" t="str">
        <f aca="false">IF(I269="","",I269*'Start here'!$B$11)</f>
        <v/>
      </c>
      <c r="K269" s="10" t="str">
        <f aca="false">IF(G269="","",G269-N(H269)-N(J269))</f>
        <v/>
      </c>
      <c r="L269" s="9"/>
      <c r="M269" s="9"/>
      <c r="N269" s="10" t="str">
        <f aca="false">IF(G269="","",G269-N(L269)-N(M269))</f>
        <v/>
      </c>
      <c r="O269" s="8"/>
      <c r="P269" s="7"/>
    </row>
    <row r="270" customFormat="false" ht="15" hidden="false" customHeight="false" outlineLevel="0" collapsed="false">
      <c r="A270" s="7"/>
      <c r="B270" s="8"/>
      <c r="C270" s="7"/>
      <c r="D270" s="7"/>
      <c r="E270" s="7"/>
      <c r="F270" s="7"/>
      <c r="G270" s="9"/>
      <c r="H270" s="9"/>
      <c r="I270" s="7"/>
      <c r="J270" s="10" t="str">
        <f aca="false">IF(I270="","",I270*'Start here'!$B$11)</f>
        <v/>
      </c>
      <c r="K270" s="10" t="str">
        <f aca="false">IF(G270="","",G270-N(H270)-N(J270))</f>
        <v/>
      </c>
      <c r="L270" s="9"/>
      <c r="M270" s="9"/>
      <c r="N270" s="10" t="str">
        <f aca="false">IF(G270="","",G270-N(L270)-N(M270))</f>
        <v/>
      </c>
      <c r="O270" s="8"/>
      <c r="P270" s="7"/>
    </row>
    <row r="271" customFormat="false" ht="15" hidden="false" customHeight="false" outlineLevel="0" collapsed="false">
      <c r="A271" s="7"/>
      <c r="B271" s="8"/>
      <c r="C271" s="7"/>
      <c r="D271" s="7"/>
      <c r="E271" s="7"/>
      <c r="F271" s="7"/>
      <c r="G271" s="9"/>
      <c r="H271" s="9"/>
      <c r="I271" s="7"/>
      <c r="J271" s="10" t="str">
        <f aca="false">IF(I271="","",I271*'Start here'!$B$11)</f>
        <v/>
      </c>
      <c r="K271" s="10" t="str">
        <f aca="false">IF(G271="","",G271-N(H271)-N(J271))</f>
        <v/>
      </c>
      <c r="L271" s="9"/>
      <c r="M271" s="9"/>
      <c r="N271" s="10" t="str">
        <f aca="false">IF(G271="","",G271-N(L271)-N(M271))</f>
        <v/>
      </c>
      <c r="O271" s="8"/>
      <c r="P271" s="7"/>
    </row>
    <row r="272" customFormat="false" ht="15" hidden="false" customHeight="false" outlineLevel="0" collapsed="false">
      <c r="A272" s="7"/>
      <c r="B272" s="8"/>
      <c r="C272" s="7"/>
      <c r="D272" s="7"/>
      <c r="E272" s="7"/>
      <c r="F272" s="7"/>
      <c r="G272" s="9"/>
      <c r="H272" s="9"/>
      <c r="I272" s="7"/>
      <c r="J272" s="10" t="str">
        <f aca="false">IF(I272="","",I272*'Start here'!$B$11)</f>
        <v/>
      </c>
      <c r="K272" s="10" t="str">
        <f aca="false">IF(G272="","",G272-N(H272)-N(J272))</f>
        <v/>
      </c>
      <c r="L272" s="9"/>
      <c r="M272" s="9"/>
      <c r="N272" s="10" t="str">
        <f aca="false">IF(G272="","",G272-N(L272)-N(M272))</f>
        <v/>
      </c>
      <c r="O272" s="8"/>
      <c r="P272" s="7"/>
    </row>
    <row r="273" customFormat="false" ht="15" hidden="false" customHeight="false" outlineLevel="0" collapsed="false">
      <c r="A273" s="7"/>
      <c r="B273" s="8"/>
      <c r="C273" s="7"/>
      <c r="D273" s="7"/>
      <c r="E273" s="7"/>
      <c r="F273" s="7"/>
      <c r="G273" s="9"/>
      <c r="H273" s="9"/>
      <c r="I273" s="7"/>
      <c r="J273" s="10" t="str">
        <f aca="false">IF(I273="","",I273*'Start here'!$B$11)</f>
        <v/>
      </c>
      <c r="K273" s="10" t="str">
        <f aca="false">IF(G273="","",G273-N(H273)-N(J273))</f>
        <v/>
      </c>
      <c r="L273" s="9"/>
      <c r="M273" s="9"/>
      <c r="N273" s="10" t="str">
        <f aca="false">IF(G273="","",G273-N(L273)-N(M273))</f>
        <v/>
      </c>
      <c r="O273" s="8"/>
      <c r="P273" s="7"/>
    </row>
    <row r="274" customFormat="false" ht="15" hidden="false" customHeight="false" outlineLevel="0" collapsed="false">
      <c r="A274" s="7"/>
      <c r="B274" s="8"/>
      <c r="C274" s="7"/>
      <c r="D274" s="7"/>
      <c r="E274" s="7"/>
      <c r="F274" s="7"/>
      <c r="G274" s="9"/>
      <c r="H274" s="9"/>
      <c r="I274" s="7"/>
      <c r="J274" s="10" t="str">
        <f aca="false">IF(I274="","",I274*'Start here'!$B$11)</f>
        <v/>
      </c>
      <c r="K274" s="10" t="str">
        <f aca="false">IF(G274="","",G274-N(H274)-N(J274))</f>
        <v/>
      </c>
      <c r="L274" s="9"/>
      <c r="M274" s="9"/>
      <c r="N274" s="10" t="str">
        <f aca="false">IF(G274="","",G274-N(L274)-N(M274))</f>
        <v/>
      </c>
      <c r="O274" s="8"/>
      <c r="P274" s="7"/>
    </row>
    <row r="275" customFormat="false" ht="15" hidden="false" customHeight="false" outlineLevel="0" collapsed="false">
      <c r="A275" s="7"/>
      <c r="B275" s="8"/>
      <c r="C275" s="7"/>
      <c r="D275" s="7"/>
      <c r="E275" s="7"/>
      <c r="F275" s="7"/>
      <c r="G275" s="9"/>
      <c r="H275" s="9"/>
      <c r="I275" s="7"/>
      <c r="J275" s="10" t="str">
        <f aca="false">IF(I275="","",I275*'Start here'!$B$11)</f>
        <v/>
      </c>
      <c r="K275" s="10" t="str">
        <f aca="false">IF(G275="","",G275-N(H275)-N(J275))</f>
        <v/>
      </c>
      <c r="L275" s="9"/>
      <c r="M275" s="9"/>
      <c r="N275" s="10" t="str">
        <f aca="false">IF(G275="","",G275-N(L275)-N(M275))</f>
        <v/>
      </c>
      <c r="O275" s="8"/>
      <c r="P275" s="7"/>
    </row>
    <row r="276" customFormat="false" ht="15" hidden="false" customHeight="false" outlineLevel="0" collapsed="false">
      <c r="A276" s="7"/>
      <c r="B276" s="8"/>
      <c r="C276" s="7"/>
      <c r="D276" s="7"/>
      <c r="E276" s="7"/>
      <c r="F276" s="7"/>
      <c r="G276" s="9"/>
      <c r="H276" s="9"/>
      <c r="I276" s="7"/>
      <c r="J276" s="10" t="str">
        <f aca="false">IF(I276="","",I276*'Start here'!$B$11)</f>
        <v/>
      </c>
      <c r="K276" s="10" t="str">
        <f aca="false">IF(G276="","",G276-N(H276)-N(J276))</f>
        <v/>
      </c>
      <c r="L276" s="9"/>
      <c r="M276" s="9"/>
      <c r="N276" s="10" t="str">
        <f aca="false">IF(G276="","",G276-N(L276)-N(M276))</f>
        <v/>
      </c>
      <c r="O276" s="8"/>
      <c r="P276" s="7"/>
    </row>
    <row r="277" customFormat="false" ht="15" hidden="false" customHeight="false" outlineLevel="0" collapsed="false">
      <c r="A277" s="7"/>
      <c r="B277" s="8"/>
      <c r="C277" s="7"/>
      <c r="D277" s="7"/>
      <c r="E277" s="7"/>
      <c r="F277" s="7"/>
      <c r="G277" s="9"/>
      <c r="H277" s="9"/>
      <c r="I277" s="7"/>
      <c r="J277" s="10" t="str">
        <f aca="false">IF(I277="","",I277*'Start here'!$B$11)</f>
        <v/>
      </c>
      <c r="K277" s="10" t="str">
        <f aca="false">IF(G277="","",G277-N(H277)-N(J277))</f>
        <v/>
      </c>
      <c r="L277" s="9"/>
      <c r="M277" s="9"/>
      <c r="N277" s="10" t="str">
        <f aca="false">IF(G277="","",G277-N(L277)-N(M277))</f>
        <v/>
      </c>
      <c r="O277" s="8"/>
      <c r="P277" s="7"/>
    </row>
    <row r="278" customFormat="false" ht="15" hidden="false" customHeight="false" outlineLevel="0" collapsed="false">
      <c r="A278" s="7"/>
      <c r="B278" s="8"/>
      <c r="C278" s="7"/>
      <c r="D278" s="7"/>
      <c r="E278" s="7"/>
      <c r="F278" s="7"/>
      <c r="G278" s="9"/>
      <c r="H278" s="9"/>
      <c r="I278" s="7"/>
      <c r="J278" s="10" t="str">
        <f aca="false">IF(I278="","",I278*'Start here'!$B$11)</f>
        <v/>
      </c>
      <c r="K278" s="10" t="str">
        <f aca="false">IF(G278="","",G278-N(H278)-N(J278))</f>
        <v/>
      </c>
      <c r="L278" s="9"/>
      <c r="M278" s="9"/>
      <c r="N278" s="10" t="str">
        <f aca="false">IF(G278="","",G278-N(L278)-N(M278))</f>
        <v/>
      </c>
      <c r="O278" s="8"/>
      <c r="P278" s="7"/>
    </row>
    <row r="279" customFormat="false" ht="15" hidden="false" customHeight="false" outlineLevel="0" collapsed="false">
      <c r="A279" s="7"/>
      <c r="B279" s="8"/>
      <c r="C279" s="7"/>
      <c r="D279" s="7"/>
      <c r="E279" s="7"/>
      <c r="F279" s="7"/>
      <c r="G279" s="9"/>
      <c r="H279" s="9"/>
      <c r="I279" s="7"/>
      <c r="J279" s="10" t="str">
        <f aca="false">IF(I279="","",I279*'Start here'!$B$11)</f>
        <v/>
      </c>
      <c r="K279" s="10" t="str">
        <f aca="false">IF(G279="","",G279-N(H279)-N(J279))</f>
        <v/>
      </c>
      <c r="L279" s="9"/>
      <c r="M279" s="9"/>
      <c r="N279" s="10" t="str">
        <f aca="false">IF(G279="","",G279-N(L279)-N(M279))</f>
        <v/>
      </c>
      <c r="O279" s="8"/>
      <c r="P279" s="7"/>
    </row>
    <row r="280" customFormat="false" ht="15" hidden="false" customHeight="false" outlineLevel="0" collapsed="false">
      <c r="A280" s="7"/>
      <c r="B280" s="8"/>
      <c r="C280" s="7"/>
      <c r="D280" s="7"/>
      <c r="E280" s="7"/>
      <c r="F280" s="7"/>
      <c r="G280" s="9"/>
      <c r="H280" s="9"/>
      <c r="I280" s="7"/>
      <c r="J280" s="10" t="str">
        <f aca="false">IF(I280="","",I280*'Start here'!$B$11)</f>
        <v/>
      </c>
      <c r="K280" s="10" t="str">
        <f aca="false">IF(G280="","",G280-N(H280)-N(J280))</f>
        <v/>
      </c>
      <c r="L280" s="9"/>
      <c r="M280" s="9"/>
      <c r="N280" s="10" t="str">
        <f aca="false">IF(G280="","",G280-N(L280)-N(M280))</f>
        <v/>
      </c>
      <c r="O280" s="8"/>
      <c r="P280" s="7"/>
    </row>
    <row r="281" customFormat="false" ht="15" hidden="false" customHeight="false" outlineLevel="0" collapsed="false">
      <c r="A281" s="7"/>
      <c r="B281" s="8"/>
      <c r="C281" s="7"/>
      <c r="D281" s="7"/>
      <c r="E281" s="7"/>
      <c r="F281" s="7"/>
      <c r="G281" s="9"/>
      <c r="H281" s="9"/>
      <c r="I281" s="7"/>
      <c r="J281" s="10" t="str">
        <f aca="false">IF(I281="","",I281*'Start here'!$B$11)</f>
        <v/>
      </c>
      <c r="K281" s="10" t="str">
        <f aca="false">IF(G281="","",G281-N(H281)-N(J281))</f>
        <v/>
      </c>
      <c r="L281" s="9"/>
      <c r="M281" s="9"/>
      <c r="N281" s="10" t="str">
        <f aca="false">IF(G281="","",G281-N(L281)-N(M281))</f>
        <v/>
      </c>
      <c r="O281" s="8"/>
      <c r="P281" s="7"/>
    </row>
    <row r="282" customFormat="false" ht="15" hidden="false" customHeight="false" outlineLevel="0" collapsed="false">
      <c r="A282" s="7"/>
      <c r="B282" s="8"/>
      <c r="C282" s="7"/>
      <c r="D282" s="7"/>
      <c r="E282" s="7"/>
      <c r="F282" s="7"/>
      <c r="G282" s="9"/>
      <c r="H282" s="9"/>
      <c r="I282" s="7"/>
      <c r="J282" s="10" t="str">
        <f aca="false">IF(I282="","",I282*'Start here'!$B$11)</f>
        <v/>
      </c>
      <c r="K282" s="10" t="str">
        <f aca="false">IF(G282="","",G282-N(H282)-N(J282))</f>
        <v/>
      </c>
      <c r="L282" s="9"/>
      <c r="M282" s="9"/>
      <c r="N282" s="10" t="str">
        <f aca="false">IF(G282="","",G282-N(L282)-N(M282))</f>
        <v/>
      </c>
      <c r="O282" s="8"/>
      <c r="P282" s="7"/>
    </row>
    <row r="283" customFormat="false" ht="15" hidden="false" customHeight="false" outlineLevel="0" collapsed="false">
      <c r="A283" s="7"/>
      <c r="B283" s="8"/>
      <c r="C283" s="7"/>
      <c r="D283" s="7"/>
      <c r="E283" s="7"/>
      <c r="F283" s="7"/>
      <c r="G283" s="9"/>
      <c r="H283" s="9"/>
      <c r="I283" s="7"/>
      <c r="J283" s="10" t="str">
        <f aca="false">IF(I283="","",I283*'Start here'!$B$11)</f>
        <v/>
      </c>
      <c r="K283" s="10" t="str">
        <f aca="false">IF(G283="","",G283-N(H283)-N(J283))</f>
        <v/>
      </c>
      <c r="L283" s="9"/>
      <c r="M283" s="9"/>
      <c r="N283" s="10" t="str">
        <f aca="false">IF(G283="","",G283-N(L283)-N(M283))</f>
        <v/>
      </c>
      <c r="O283" s="8"/>
      <c r="P283" s="7"/>
    </row>
    <row r="284" customFormat="false" ht="15" hidden="false" customHeight="false" outlineLevel="0" collapsed="false">
      <c r="A284" s="7"/>
      <c r="B284" s="8"/>
      <c r="C284" s="7"/>
      <c r="D284" s="7"/>
      <c r="E284" s="7"/>
      <c r="F284" s="7"/>
      <c r="G284" s="9"/>
      <c r="H284" s="9"/>
      <c r="I284" s="7"/>
      <c r="J284" s="10" t="str">
        <f aca="false">IF(I284="","",I284*'Start here'!$B$11)</f>
        <v/>
      </c>
      <c r="K284" s="10" t="str">
        <f aca="false">IF(G284="","",G284-N(H284)-N(J284))</f>
        <v/>
      </c>
      <c r="L284" s="9"/>
      <c r="M284" s="9"/>
      <c r="N284" s="10" t="str">
        <f aca="false">IF(G284="","",G284-N(L284)-N(M284))</f>
        <v/>
      </c>
      <c r="O284" s="8"/>
      <c r="P284" s="7"/>
    </row>
    <row r="285" customFormat="false" ht="15" hidden="false" customHeight="false" outlineLevel="0" collapsed="false">
      <c r="A285" s="7"/>
      <c r="B285" s="8"/>
      <c r="C285" s="7"/>
      <c r="D285" s="7"/>
      <c r="E285" s="7"/>
      <c r="F285" s="7"/>
      <c r="G285" s="9"/>
      <c r="H285" s="9"/>
      <c r="I285" s="7"/>
      <c r="J285" s="10" t="str">
        <f aca="false">IF(I285="","",I285*'Start here'!$B$11)</f>
        <v/>
      </c>
      <c r="K285" s="10" t="str">
        <f aca="false">IF(G285="","",G285-N(H285)-N(J285))</f>
        <v/>
      </c>
      <c r="L285" s="9"/>
      <c r="M285" s="9"/>
      <c r="N285" s="10" t="str">
        <f aca="false">IF(G285="","",G285-N(L285)-N(M285))</f>
        <v/>
      </c>
      <c r="O285" s="8"/>
      <c r="P285" s="7"/>
    </row>
    <row r="286" customFormat="false" ht="15" hidden="false" customHeight="false" outlineLevel="0" collapsed="false">
      <c r="A286" s="7"/>
      <c r="B286" s="8"/>
      <c r="C286" s="7"/>
      <c r="D286" s="7"/>
      <c r="E286" s="7"/>
      <c r="F286" s="7"/>
      <c r="G286" s="9"/>
      <c r="H286" s="9"/>
      <c r="I286" s="7"/>
      <c r="J286" s="10" t="str">
        <f aca="false">IF(I286="","",I286*'Start here'!$B$11)</f>
        <v/>
      </c>
      <c r="K286" s="10" t="str">
        <f aca="false">IF(G286="","",G286-N(H286)-N(J286))</f>
        <v/>
      </c>
      <c r="L286" s="9"/>
      <c r="M286" s="9"/>
      <c r="N286" s="10" t="str">
        <f aca="false">IF(G286="","",G286-N(L286)-N(M286))</f>
        <v/>
      </c>
      <c r="O286" s="8"/>
      <c r="P286" s="7"/>
    </row>
    <row r="287" customFormat="false" ht="15" hidden="false" customHeight="false" outlineLevel="0" collapsed="false">
      <c r="A287" s="7"/>
      <c r="B287" s="8"/>
      <c r="C287" s="7"/>
      <c r="D287" s="7"/>
      <c r="E287" s="7"/>
      <c r="F287" s="7"/>
      <c r="G287" s="9"/>
      <c r="H287" s="9"/>
      <c r="I287" s="7"/>
      <c r="J287" s="10" t="str">
        <f aca="false">IF(I287="","",I287*'Start here'!$B$11)</f>
        <v/>
      </c>
      <c r="K287" s="10" t="str">
        <f aca="false">IF(G287="","",G287-N(H287)-N(J287))</f>
        <v/>
      </c>
      <c r="L287" s="9"/>
      <c r="M287" s="9"/>
      <c r="N287" s="10" t="str">
        <f aca="false">IF(G287="","",G287-N(L287)-N(M287))</f>
        <v/>
      </c>
      <c r="O287" s="8"/>
      <c r="P287" s="7"/>
    </row>
    <row r="288" customFormat="false" ht="15" hidden="false" customHeight="false" outlineLevel="0" collapsed="false">
      <c r="A288" s="7"/>
      <c r="B288" s="8"/>
      <c r="C288" s="7"/>
      <c r="D288" s="7"/>
      <c r="E288" s="7"/>
      <c r="F288" s="7"/>
      <c r="G288" s="9"/>
      <c r="H288" s="9"/>
      <c r="I288" s="7"/>
      <c r="J288" s="10" t="str">
        <f aca="false">IF(I288="","",I288*'Start here'!$B$11)</f>
        <v/>
      </c>
      <c r="K288" s="10" t="str">
        <f aca="false">IF(G288="","",G288-N(H288)-N(J288))</f>
        <v/>
      </c>
      <c r="L288" s="9"/>
      <c r="M288" s="9"/>
      <c r="N288" s="10" t="str">
        <f aca="false">IF(G288="","",G288-N(L288)-N(M288))</f>
        <v/>
      </c>
      <c r="O288" s="8"/>
      <c r="P288" s="7"/>
    </row>
    <row r="289" customFormat="false" ht="15" hidden="false" customHeight="false" outlineLevel="0" collapsed="false">
      <c r="A289" s="7"/>
      <c r="B289" s="8"/>
      <c r="C289" s="7"/>
      <c r="D289" s="7"/>
      <c r="E289" s="7"/>
      <c r="F289" s="7"/>
      <c r="G289" s="9"/>
      <c r="H289" s="9"/>
      <c r="I289" s="7"/>
      <c r="J289" s="10" t="str">
        <f aca="false">IF(I289="","",I289*'Start here'!$B$11)</f>
        <v/>
      </c>
      <c r="K289" s="10" t="str">
        <f aca="false">IF(G289="","",G289-N(H289)-N(J289))</f>
        <v/>
      </c>
      <c r="L289" s="9"/>
      <c r="M289" s="9"/>
      <c r="N289" s="10" t="str">
        <f aca="false">IF(G289="","",G289-N(L289)-N(M289))</f>
        <v/>
      </c>
      <c r="O289" s="8"/>
      <c r="P289" s="7"/>
    </row>
    <row r="290" customFormat="false" ht="15" hidden="false" customHeight="false" outlineLevel="0" collapsed="false">
      <c r="A290" s="7"/>
      <c r="B290" s="8"/>
      <c r="C290" s="7"/>
      <c r="D290" s="7"/>
      <c r="E290" s="7"/>
      <c r="F290" s="7"/>
      <c r="G290" s="9"/>
      <c r="H290" s="9"/>
      <c r="I290" s="7"/>
      <c r="J290" s="10" t="str">
        <f aca="false">IF(I290="","",I290*'Start here'!$B$11)</f>
        <v/>
      </c>
      <c r="K290" s="10" t="str">
        <f aca="false">IF(G290="","",G290-N(H290)-N(J290))</f>
        <v/>
      </c>
      <c r="L290" s="9"/>
      <c r="M290" s="9"/>
      <c r="N290" s="10" t="str">
        <f aca="false">IF(G290="","",G290-N(L290)-N(M290))</f>
        <v/>
      </c>
      <c r="O290" s="8"/>
      <c r="P290" s="7"/>
    </row>
    <row r="291" customFormat="false" ht="15" hidden="false" customHeight="false" outlineLevel="0" collapsed="false">
      <c r="A291" s="7"/>
      <c r="B291" s="8"/>
      <c r="C291" s="7"/>
      <c r="D291" s="7"/>
      <c r="E291" s="7"/>
      <c r="F291" s="7"/>
      <c r="G291" s="9"/>
      <c r="H291" s="9"/>
      <c r="I291" s="7"/>
      <c r="J291" s="10" t="str">
        <f aca="false">IF(I291="","",I291*'Start here'!$B$11)</f>
        <v/>
      </c>
      <c r="K291" s="10" t="str">
        <f aca="false">IF(G291="","",G291-N(H291)-N(J291))</f>
        <v/>
      </c>
      <c r="L291" s="9"/>
      <c r="M291" s="9"/>
      <c r="N291" s="10" t="str">
        <f aca="false">IF(G291="","",G291-N(L291)-N(M291))</f>
        <v/>
      </c>
      <c r="O291" s="8"/>
      <c r="P291" s="7"/>
    </row>
    <row r="292" customFormat="false" ht="15" hidden="false" customHeight="false" outlineLevel="0" collapsed="false">
      <c r="A292" s="7"/>
      <c r="B292" s="8"/>
      <c r="C292" s="7"/>
      <c r="D292" s="7"/>
      <c r="E292" s="7"/>
      <c r="F292" s="7"/>
      <c r="G292" s="9"/>
      <c r="H292" s="9"/>
      <c r="I292" s="7"/>
      <c r="J292" s="10" t="str">
        <f aca="false">IF(I292="","",I292*'Start here'!$B$11)</f>
        <v/>
      </c>
      <c r="K292" s="10" t="str">
        <f aca="false">IF(G292="","",G292-N(H292)-N(J292))</f>
        <v/>
      </c>
      <c r="L292" s="9"/>
      <c r="M292" s="9"/>
      <c r="N292" s="10" t="str">
        <f aca="false">IF(G292="","",G292-N(L292)-N(M292))</f>
        <v/>
      </c>
      <c r="O292" s="8"/>
      <c r="P292" s="7"/>
    </row>
    <row r="293" customFormat="false" ht="15" hidden="false" customHeight="false" outlineLevel="0" collapsed="false">
      <c r="A293" s="7"/>
      <c r="B293" s="8"/>
      <c r="C293" s="7"/>
      <c r="D293" s="7"/>
      <c r="E293" s="7"/>
      <c r="F293" s="7"/>
      <c r="G293" s="9"/>
      <c r="H293" s="9"/>
      <c r="I293" s="7"/>
      <c r="J293" s="10" t="str">
        <f aca="false">IF(I293="","",I293*'Start here'!$B$11)</f>
        <v/>
      </c>
      <c r="K293" s="10" t="str">
        <f aca="false">IF(G293="","",G293-N(H293)-N(J293))</f>
        <v/>
      </c>
      <c r="L293" s="9"/>
      <c r="M293" s="9"/>
      <c r="N293" s="10" t="str">
        <f aca="false">IF(G293="","",G293-N(L293)-N(M293))</f>
        <v/>
      </c>
      <c r="O293" s="8"/>
      <c r="P293" s="7"/>
    </row>
    <row r="294" customFormat="false" ht="15" hidden="false" customHeight="false" outlineLevel="0" collapsed="false">
      <c r="A294" s="7"/>
      <c r="B294" s="8"/>
      <c r="C294" s="7"/>
      <c r="D294" s="7"/>
      <c r="E294" s="7"/>
      <c r="F294" s="7"/>
      <c r="G294" s="9"/>
      <c r="H294" s="9"/>
      <c r="I294" s="7"/>
      <c r="J294" s="10" t="str">
        <f aca="false">IF(I294="","",I294*'Start here'!$B$11)</f>
        <v/>
      </c>
      <c r="K294" s="10" t="str">
        <f aca="false">IF(G294="","",G294-N(H294)-N(J294))</f>
        <v/>
      </c>
      <c r="L294" s="9"/>
      <c r="M294" s="9"/>
      <c r="N294" s="10" t="str">
        <f aca="false">IF(G294="","",G294-N(L294)-N(M294))</f>
        <v/>
      </c>
      <c r="O294" s="8"/>
      <c r="P294" s="7"/>
    </row>
    <row r="295" customFormat="false" ht="15" hidden="false" customHeight="false" outlineLevel="0" collapsed="false">
      <c r="A295" s="7"/>
      <c r="B295" s="8"/>
      <c r="C295" s="7"/>
      <c r="D295" s="7"/>
      <c r="E295" s="7"/>
      <c r="F295" s="7"/>
      <c r="G295" s="9"/>
      <c r="H295" s="9"/>
      <c r="I295" s="7"/>
      <c r="J295" s="10" t="str">
        <f aca="false">IF(I295="","",I295*'Start here'!$B$11)</f>
        <v/>
      </c>
      <c r="K295" s="10" t="str">
        <f aca="false">IF(G295="","",G295-N(H295)-N(J295))</f>
        <v/>
      </c>
      <c r="L295" s="9"/>
      <c r="M295" s="9"/>
      <c r="N295" s="10" t="str">
        <f aca="false">IF(G295="","",G295-N(L295)-N(M295))</f>
        <v/>
      </c>
      <c r="O295" s="8"/>
      <c r="P295" s="7"/>
    </row>
    <row r="296" customFormat="false" ht="15" hidden="false" customHeight="false" outlineLevel="0" collapsed="false">
      <c r="A296" s="7"/>
      <c r="B296" s="8"/>
      <c r="C296" s="7"/>
      <c r="D296" s="7"/>
      <c r="E296" s="7"/>
      <c r="F296" s="7"/>
      <c r="G296" s="9"/>
      <c r="H296" s="9"/>
      <c r="I296" s="7"/>
      <c r="J296" s="10" t="str">
        <f aca="false">IF(I296="","",I296*'Start here'!$B$11)</f>
        <v/>
      </c>
      <c r="K296" s="10" t="str">
        <f aca="false">IF(G296="","",G296-N(H296)-N(J296))</f>
        <v/>
      </c>
      <c r="L296" s="9"/>
      <c r="M296" s="9"/>
      <c r="N296" s="10" t="str">
        <f aca="false">IF(G296="","",G296-N(L296)-N(M296))</f>
        <v/>
      </c>
      <c r="O296" s="8"/>
      <c r="P296" s="7"/>
    </row>
    <row r="297" customFormat="false" ht="15" hidden="false" customHeight="false" outlineLevel="0" collapsed="false">
      <c r="A297" s="7"/>
      <c r="B297" s="8"/>
      <c r="C297" s="7"/>
      <c r="D297" s="7"/>
      <c r="E297" s="7"/>
      <c r="F297" s="7"/>
      <c r="G297" s="9"/>
      <c r="H297" s="9"/>
      <c r="I297" s="7"/>
      <c r="J297" s="10" t="str">
        <f aca="false">IF(I297="","",I297*'Start here'!$B$11)</f>
        <v/>
      </c>
      <c r="K297" s="10" t="str">
        <f aca="false">IF(G297="","",G297-N(H297)-N(J297))</f>
        <v/>
      </c>
      <c r="L297" s="9"/>
      <c r="M297" s="9"/>
      <c r="N297" s="10" t="str">
        <f aca="false">IF(G297="","",G297-N(L297)-N(M297))</f>
        <v/>
      </c>
      <c r="O297" s="8"/>
      <c r="P297" s="7"/>
    </row>
    <row r="298" customFormat="false" ht="15" hidden="false" customHeight="false" outlineLevel="0" collapsed="false">
      <c r="A298" s="7"/>
      <c r="B298" s="8"/>
      <c r="C298" s="7"/>
      <c r="D298" s="7"/>
      <c r="E298" s="7"/>
      <c r="F298" s="7"/>
      <c r="G298" s="9"/>
      <c r="H298" s="9"/>
      <c r="I298" s="7"/>
      <c r="J298" s="10" t="str">
        <f aca="false">IF(I298="","",I298*'Start here'!$B$11)</f>
        <v/>
      </c>
      <c r="K298" s="10" t="str">
        <f aca="false">IF(G298="","",G298-N(H298)-N(J298))</f>
        <v/>
      </c>
      <c r="L298" s="9"/>
      <c r="M298" s="9"/>
      <c r="N298" s="10" t="str">
        <f aca="false">IF(G298="","",G298-N(L298)-N(M298))</f>
        <v/>
      </c>
      <c r="O298" s="8"/>
      <c r="P298" s="7"/>
    </row>
    <row r="299" customFormat="false" ht="15" hidden="false" customHeight="false" outlineLevel="0" collapsed="false">
      <c r="A299" s="7"/>
      <c r="B299" s="8"/>
      <c r="C299" s="7"/>
      <c r="D299" s="7"/>
      <c r="E299" s="7"/>
      <c r="F299" s="7"/>
      <c r="G299" s="9"/>
      <c r="H299" s="9"/>
      <c r="I299" s="7"/>
      <c r="J299" s="10" t="str">
        <f aca="false">IF(I299="","",I299*'Start here'!$B$11)</f>
        <v/>
      </c>
      <c r="K299" s="10" t="str">
        <f aca="false">IF(G299="","",G299-N(H299)-N(J299))</f>
        <v/>
      </c>
      <c r="L299" s="9"/>
      <c r="M299" s="9"/>
      <c r="N299" s="10" t="str">
        <f aca="false">IF(G299="","",G299-N(L299)-N(M299))</f>
        <v/>
      </c>
      <c r="O299" s="8"/>
      <c r="P299" s="7"/>
    </row>
    <row r="300" customFormat="false" ht="15" hidden="false" customHeight="false" outlineLevel="0" collapsed="false">
      <c r="A300" s="7"/>
      <c r="B300" s="8"/>
      <c r="C300" s="7"/>
      <c r="D300" s="7"/>
      <c r="E300" s="7"/>
      <c r="F300" s="7"/>
      <c r="G300" s="9"/>
      <c r="H300" s="9"/>
      <c r="I300" s="7"/>
      <c r="J300" s="10" t="str">
        <f aca="false">IF(I300="","",I300*'Start here'!$B$11)</f>
        <v/>
      </c>
      <c r="K300" s="10" t="str">
        <f aca="false">IF(G300="","",G300-N(H300)-N(J300))</f>
        <v/>
      </c>
      <c r="L300" s="9"/>
      <c r="M300" s="9"/>
      <c r="N300" s="10" t="str">
        <f aca="false">IF(G300="","",G300-N(L300)-N(M300))</f>
        <v/>
      </c>
      <c r="O300" s="8"/>
      <c r="P300" s="7"/>
    </row>
    <row r="301" customFormat="false" ht="15" hidden="false" customHeight="false" outlineLevel="0" collapsed="false">
      <c r="A301" s="7"/>
      <c r="B301" s="8"/>
      <c r="C301" s="7"/>
      <c r="D301" s="7"/>
      <c r="E301" s="7"/>
      <c r="F301" s="7"/>
      <c r="G301" s="9"/>
      <c r="H301" s="9"/>
      <c r="I301" s="7"/>
      <c r="J301" s="10" t="str">
        <f aca="false">IF(I301="","",I301*'Start here'!$B$11)</f>
        <v/>
      </c>
      <c r="K301" s="10" t="str">
        <f aca="false">IF(G301="","",G301-N(H301)-N(J301))</f>
        <v/>
      </c>
      <c r="L301" s="9"/>
      <c r="M301" s="9"/>
      <c r="N301" s="10" t="str">
        <f aca="false">IF(G301="","",G301-N(L301)-N(M301))</f>
        <v/>
      </c>
      <c r="O301" s="8"/>
      <c r="P301" s="7"/>
    </row>
  </sheetData>
  <conditionalFormatting sqref="O2:O301">
    <cfRule type="expression" priority="2" aboveAverage="0" equalAverage="0" bottom="0" percent="0" rank="0" text="" dxfId="0">
      <formula>AND($F2="Quoted",$O2&lt;&gt;"",$O2&lt;TODAY())</formula>
    </cfRule>
  </conditionalFormatting>
  <conditionalFormatting sqref="N2:N301">
    <cfRule type="expression" priority="3" aboveAverage="0" equalAverage="0" bottom="0" percent="0" rank="0" text="" dxfId="1">
      <formula>AND($F2="Done",$N2&gt;0)</formula>
    </cfRule>
  </conditionalFormatting>
  <dataValidations count="1">
    <dataValidation allowBlank="true" errorStyle="stop" operator="between" showDropDown="false" showErrorMessage="false" showInputMessage="false" sqref="F2:F301" type="list">
      <formula1>"Lead,Quoted,Won,Scheduled,Done,Paid,Lost"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19.7" hidden="false" customHeight="false" outlineLevel="0" collapsed="false">
      <c r="A1" s="11" t="s">
        <v>32</v>
      </c>
    </row>
    <row r="3" customFormat="false" ht="15" hidden="false" customHeight="false" outlineLevel="0" collapsed="false">
      <c r="A3" s="12" t="s">
        <v>16</v>
      </c>
      <c r="B3" s="12" t="s">
        <v>33</v>
      </c>
      <c r="C3" s="12" t="s">
        <v>34</v>
      </c>
    </row>
    <row r="4" customFormat="false" ht="15" hidden="false" customHeight="false" outlineLevel="0" collapsed="false">
      <c r="A4" s="3" t="s">
        <v>35</v>
      </c>
      <c r="B4" s="3" t="n">
        <f aca="false">COUNTIF(Jobs!$F$2:$F$301,A4)</f>
        <v>0</v>
      </c>
      <c r="C4" s="13" t="n">
        <f aca="false">SUMIF(Jobs!$F$2:$F$301,A4,Jobs!$G$2:$G$301)</f>
        <v>0</v>
      </c>
    </row>
    <row r="5" customFormat="false" ht="15" hidden="false" customHeight="false" outlineLevel="0" collapsed="false">
      <c r="A5" s="3" t="s">
        <v>30</v>
      </c>
      <c r="B5" s="3" t="n">
        <f aca="false">COUNTIF(Jobs!$F$2:$F$301,A5)</f>
        <v>1</v>
      </c>
      <c r="C5" s="13" t="n">
        <f aca="false">SUMIF(Jobs!$F$2:$F$301,A5,Jobs!$G$2:$G$301)</f>
        <v>1850</v>
      </c>
    </row>
    <row r="6" customFormat="false" ht="15" hidden="false" customHeight="false" outlineLevel="0" collapsed="false">
      <c r="A6" s="3" t="s">
        <v>36</v>
      </c>
      <c r="B6" s="3" t="n">
        <f aca="false">COUNTIF(Jobs!$F$2:$F$301,A6)</f>
        <v>0</v>
      </c>
      <c r="C6" s="13" t="n">
        <f aca="false">SUMIF(Jobs!$F$2:$F$301,A6,Jobs!$G$2:$G$301)</f>
        <v>0</v>
      </c>
    </row>
    <row r="7" customFormat="false" ht="15" hidden="false" customHeight="false" outlineLevel="0" collapsed="false">
      <c r="A7" s="3" t="s">
        <v>37</v>
      </c>
      <c r="B7" s="3" t="n">
        <f aca="false">COUNTIF(Jobs!$F$2:$F$301,A7)</f>
        <v>0</v>
      </c>
      <c r="C7" s="13" t="n">
        <f aca="false">SUMIF(Jobs!$F$2:$F$301,A7,Jobs!$G$2:$G$301)</f>
        <v>0</v>
      </c>
    </row>
    <row r="8" customFormat="false" ht="15" hidden="false" customHeight="false" outlineLevel="0" collapsed="false">
      <c r="A8" s="3" t="s">
        <v>38</v>
      </c>
      <c r="B8" s="3" t="n">
        <f aca="false">COUNTIF(Jobs!$F$2:$F$301,A8)</f>
        <v>0</v>
      </c>
      <c r="C8" s="13" t="n">
        <f aca="false">SUMIF(Jobs!$F$2:$F$301,A8,Jobs!$G$2:$G$301)</f>
        <v>0</v>
      </c>
    </row>
    <row r="9" customFormat="false" ht="15" hidden="false" customHeight="false" outlineLevel="0" collapsed="false">
      <c r="A9" s="3" t="s">
        <v>39</v>
      </c>
      <c r="B9" s="3" t="n">
        <f aca="false">COUNTIF(Jobs!$F$2:$F$301,A9)</f>
        <v>0</v>
      </c>
      <c r="C9" s="13" t="n">
        <f aca="false">SUMIF(Jobs!$F$2:$F$301,A9,Jobs!$G$2:$G$301)</f>
        <v>0</v>
      </c>
    </row>
    <row r="10" customFormat="false" ht="15" hidden="false" customHeight="false" outlineLevel="0" collapsed="false">
      <c r="A10" s="3" t="s">
        <v>40</v>
      </c>
      <c r="B10" s="3" t="n">
        <f aca="false">COUNTIF(Jobs!$F$2:$F$301,A10)</f>
        <v>0</v>
      </c>
      <c r="C10" s="13" t="n">
        <f aca="false">SUMIF(Jobs!$F$2:$F$301,A10,Jobs!$G$2:$G$301)</f>
        <v>0</v>
      </c>
    </row>
    <row r="12" customFormat="false" ht="15" hidden="false" customHeight="false" outlineLevel="0" collapsed="false">
      <c r="A12" s="2" t="s">
        <v>41</v>
      </c>
      <c r="B12" s="2" t="n">
        <f aca="false">SUM(B4:B10)</f>
        <v>1</v>
      </c>
      <c r="C12" s="14" t="n">
        <f aca="false">SUM(C4:C10)</f>
        <v>1850</v>
      </c>
    </row>
    <row r="14" customFormat="false" ht="15" hidden="false" customHeight="false" outlineLevel="0" collapsed="false">
      <c r="A14" s="2" t="s">
        <v>42</v>
      </c>
    </row>
    <row r="15" customFormat="false" ht="15" hidden="false" customHeight="false" outlineLevel="0" collapsed="false">
      <c r="A15" s="3" t="s">
        <v>43</v>
      </c>
      <c r="B15" s="13" t="n">
        <f aca="false">SUMIFS(Jobs!$K$2:$K$301,Jobs!$F$2:$F$301,"Done")+SUMIFS(Jobs!$K$2:$K$301,Jobs!$F$2:$F$301,"Paid")</f>
        <v>0</v>
      </c>
    </row>
    <row r="16" customFormat="false" ht="15" hidden="false" customHeight="false" outlineLevel="0" collapsed="false">
      <c r="A16" s="3" t="s">
        <v>44</v>
      </c>
      <c r="B16" s="13" t="n">
        <f aca="false">SUMIFS(Jobs!$N$2:$N$301,Jobs!$F$2:$F$301,"Done")</f>
        <v>0</v>
      </c>
    </row>
    <row r="17" customFormat="false" ht="15" hidden="false" customHeight="false" outlineLevel="0" collapsed="false">
      <c r="A17" s="3" t="s">
        <v>45</v>
      </c>
      <c r="B17" s="15" t="n">
        <f aca="false">COUNTIF(Jobs!$F$2:$F$301,"Quoted")</f>
        <v>1</v>
      </c>
    </row>
    <row r="18" customFormat="false" ht="15" hidden="false" customHeight="false" outlineLevel="0" collapsed="false">
      <c r="A18" s="3" t="s">
        <v>46</v>
      </c>
      <c r="B18" s="16" t="n">
        <f aca="false">IFERROR((B6+B7+B8+B9)/(B5+B6+B7+B8+B9+B10),"")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2026-10-30T00:48:29Z</dcterms:created>
  <dc:creator>openpyxl</dc:creator>
  <dc:description/>
  <dc:language>en-US</dc:language>
  <cp:lastModifiedBy/>
  <dcterms:modified xsi:type="dcterms:W3CDTF">2026-10-30T00:48:29Z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