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Loads" sheetId="2" state="visible" r:id="rId4"/>
    <sheet name="Summary" sheetId="3" state="visible" r:id="rId5"/>
  </sheets>
  <definedNames>
    <definedName function="false" hidden="true" localSheetId="1" name="_xlnm._FilterDatabase" vbProcedure="false">Loads!$A$4:$O$204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<sst xmlns="http://schemas.openxmlformats.org/spreadsheetml/2006/main" count="66" uniqueCount="64">
  <si>
    <t xml:space="preserve">Load Tracker</t>
  </si>
  <si>
    <t xml:space="preserve">A simple free template for small carriers and dispatchers. Track every load, see what you are owed, and stop digging through texts.</t>
  </si>
  <si>
    <t xml:space="preserve">How to use it</t>
  </si>
  <si>
    <t xml:space="preserve">1. Loads tab</t>
  </si>
  <si>
    <t xml:space="preserve">Add one row per load. Fill in only the blue cells. Grey cells calculate by themselves.</t>
  </si>
  <si>
    <t xml:space="preserve">2. Status</t>
  </si>
  <si>
    <t xml:space="preserve">Pick a status from the drop-down: Booked, In transit, Delivered, Invoiced, Paid.</t>
  </si>
  <si>
    <t xml:space="preserve">3. Invoice and paid dates</t>
  </si>
  <si>
    <t xml:space="preserve">Add the invoice date when you bill, and the paid date when the money arrives.</t>
  </si>
  <si>
    <t xml:space="preserve">4. Summary tab</t>
  </si>
  <si>
    <t xml:space="preserve">Shows loads and dollars by status, what you are owed, and your average rate per mile. Nothing to fill in.</t>
  </si>
  <si>
    <t xml:space="preserve">Colour key</t>
  </si>
  <si>
    <t xml:space="preserve">Blue text</t>
  </si>
  <si>
    <t xml:space="preserve">Cells you type into.</t>
  </si>
  <si>
    <t xml:space="preserve">Black text on grey</t>
  </si>
  <si>
    <t xml:space="preserve">Formulas. Do not type over them.</t>
  </si>
  <si>
    <t xml:space="preserve">Red row</t>
  </si>
  <si>
    <t xml:space="preserve">An invoice that is more than 30 days old and not yet paid.</t>
  </si>
  <si>
    <t xml:space="preserve">The example row</t>
  </si>
  <si>
    <t xml:space="preserve">Row 5 on the Loads tab is an example. Overwrite it with your first real load.</t>
  </si>
  <si>
    <t xml:space="preserve">Made by</t>
  </si>
  <si>
    <t xml:space="preserve">Sony  |  sony-simon-business.vercel.app  |  sonysimon.business@gmail.com</t>
  </si>
  <si>
    <t xml:space="preserve">Loads</t>
  </si>
  <si>
    <t xml:space="preserve">Type in the blue cells. Row 5 is an example, overwrite it. The grey columns calculate by themselves.</t>
  </si>
  <si>
    <t xml:space="preserve">Load #</t>
  </si>
  <si>
    <t xml:space="preserve">Pickup date</t>
  </si>
  <si>
    <t xml:space="preserve">Customer</t>
  </si>
  <si>
    <t xml:space="preserve">Pickup city</t>
  </si>
  <si>
    <t xml:space="preserve">Delivery city</t>
  </si>
  <si>
    <t xml:space="preserve">Driver</t>
  </si>
  <si>
    <t xml:space="preserve">Truck</t>
  </si>
  <si>
    <t xml:space="preserve">Rate ($)</t>
  </si>
  <si>
    <t xml:space="preserve">Loaded miles</t>
  </si>
  <si>
    <t xml:space="preserve">Status</t>
  </si>
  <si>
    <t xml:space="preserve">Invoice date</t>
  </si>
  <si>
    <t xml:space="preserve">Paid date</t>
  </si>
  <si>
    <t xml:space="preserve">Rate per mile ($)</t>
  </si>
  <si>
    <t xml:space="preserve">Days to get paid</t>
  </si>
  <si>
    <t xml:space="preserve">Notes</t>
  </si>
  <si>
    <t xml:space="preserve">Midwest Steel Supply</t>
  </si>
  <si>
    <t xml:space="preserve">Erie, PA</t>
  </si>
  <si>
    <t xml:space="preserve">Columbus, OH</t>
  </si>
  <si>
    <t xml:space="preserve">J. Miller</t>
  </si>
  <si>
    <t xml:space="preserve">T-12</t>
  </si>
  <si>
    <t xml:space="preserve">Invoiced</t>
  </si>
  <si>
    <t xml:space="preserve">EXAMPLE ROW: overwrite me</t>
  </si>
  <si>
    <t xml:space="preserve">Summary</t>
  </si>
  <si>
    <t xml:space="preserve">Everything here calculates from the Loads tab. Nothing to type.</t>
  </si>
  <si>
    <t xml:space="preserve">By status</t>
  </si>
  <si>
    <t xml:space="preserve">Revenue ($)</t>
  </si>
  <si>
    <t xml:space="preserve">Booked</t>
  </si>
  <si>
    <t xml:space="preserve">In transit</t>
  </si>
  <si>
    <t xml:space="preserve">Delivered</t>
  </si>
  <si>
    <t xml:space="preserve">Paid</t>
  </si>
  <si>
    <t xml:space="preserve">All loads</t>
  </si>
  <si>
    <t xml:space="preserve">Money and miles</t>
  </si>
  <si>
    <t xml:space="preserve">Value</t>
  </si>
  <si>
    <t xml:space="preserve">Owed to you (Delivered + Invoiced)</t>
  </si>
  <si>
    <t xml:space="preserve">Collected (Paid)</t>
  </si>
  <si>
    <t xml:space="preserve">Average rate per mile, all loads</t>
  </si>
  <si>
    <t xml:space="preserve">Total loaded miles</t>
  </si>
  <si>
    <t xml:space="preserve">Average days to get paid</t>
  </si>
  <si>
    <t xml:space="preserve">Invoices over 30 days, not paid</t>
  </si>
  <si>
    <t xml:space="preserve">Average rate per mile counts only loads that have both a rate and miles.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</si>
</sst>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mm/dd/yyyy"/>
    <numFmt numFmtId="166" formatCode="\$#,##0.00"/>
    <numFmt numFmtId="167" formatCode="#,##0"/>
    <numFmt numFmtId="168" formatCode="0"/>
    <numFmt numFmtId="169" formatCode="\$#,##0"/>
    <numFmt numFmtId="170" formatCode="0.0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0C1A2B"/>
      <name val="Arial"/>
      <family val="0"/>
      <charset val="1"/>
    </font>
    <font>
      <sz val="11"/>
      <color rgb="FF586376"/>
      <name val="Arial"/>
      <family val="0"/>
      <charset val="1"/>
    </font>
    <font>
      <b val="true"/>
      <sz val="13"/>
      <color rgb="FF2347FF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1"/>
      <color rgb="FF9C0006"/>
      <name val="Arial"/>
      <family val="0"/>
      <charset val="1"/>
    </font>
    <font>
      <b val="true"/>
      <sz val="16"/>
      <color rgb="FF0C1A2B"/>
      <name val="Arial"/>
      <family val="0"/>
      <charset val="1"/>
    </font>
    <font>
      <i val="true"/>
      <sz val="10"/>
      <color rgb="FF58637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586376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EEF0F2"/>
        <bgColor rgb="FFFFFFFF"/>
      </patternFill>
    </fill>
    <fill>
      <patternFill patternType="solid">
        <fgColor rgb="FFFFC7CE"/>
        <bgColor rgb="FFD5D9DE"/>
      </patternFill>
    </fill>
    <fill>
      <patternFill patternType="solid">
        <fgColor rgb="FF2347FF"/>
        <bgColor rgb="FF0066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5D9DE"/>
      </left>
      <right style="thin">
        <color rgb="FFD5D9DE"/>
      </right>
      <top style="thin">
        <color rgb="FFD5D9DE"/>
      </top>
      <bottom style="thin">
        <color rgb="FFD5D9D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2347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EF0F2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ont>
        <name val="Arial"/>
        <charset val="1"/>
        <family val="0"/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EF0F2"/>
      <rgbColor rgb="FFCCFFFF"/>
      <rgbColor rgb="FF660066"/>
      <rgbColor rgb="FFFF8080"/>
      <rgbColor rgb="FF0066CC"/>
      <rgbColor rgb="FFD5D9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2347FF"/>
      <rgbColor rgb="FF33CCCC"/>
      <rgbColor rgb="FF99CC00"/>
      <rgbColor rgb="FFFFCC00"/>
      <rgbColor rgb="FFFF9900"/>
      <rgbColor rgb="FFFF6600"/>
      <rgbColor rgb="FF586376"/>
      <rgbColor rgb="FF969696"/>
      <rgbColor rgb="FF003366"/>
      <rgbColor rgb="FF339966"/>
      <rgbColor rgb="FF0C1A2B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347FF"/>
    <pageSetUpPr fitToPage="false"/>
  </sheetPr>
  <dimension ref="B2:C1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78"/>
  </cols>
  <sheetData>
    <row r="2" customFormat="false" ht="24.45" hidden="false" customHeight="false" outlineLevel="0" collapsed="false">
      <c r="B2" s="1" t="s">
        <v>0</v>
      </c>
    </row>
    <row r="3" customFormat="false" ht="31.5" hidden="false" customHeight="true" outlineLevel="0" collapsed="false">
      <c r="B3" s="2" t="s">
        <v>1</v>
      </c>
      <c r="C3" s="2"/>
    </row>
    <row r="5" customFormat="false" ht="16.15" hidden="false" customHeight="false" outlineLevel="0" collapsed="false">
      <c r="B5" s="3" t="s">
        <v>2</v>
      </c>
    </row>
    <row r="6" customFormat="false" ht="15" hidden="false" customHeight="false" outlineLevel="0" collapsed="false">
      <c r="B6" s="4" t="s">
        <v>3</v>
      </c>
      <c r="C6" s="5" t="s">
        <v>4</v>
      </c>
    </row>
    <row r="7" customFormat="false" ht="15" hidden="false" customHeight="false" outlineLevel="0" collapsed="false">
      <c r="B7" s="4" t="s">
        <v>5</v>
      </c>
      <c r="C7" s="5" t="s">
        <v>6</v>
      </c>
    </row>
    <row r="8" customFormat="false" ht="15" hidden="false" customHeight="false" outlineLevel="0" collapsed="false">
      <c r="B8" s="4" t="s">
        <v>7</v>
      </c>
      <c r="C8" s="5" t="s">
        <v>8</v>
      </c>
    </row>
    <row r="9" customFormat="false" ht="26.85" hidden="false" customHeight="false" outlineLevel="0" collapsed="false">
      <c r="B9" s="4" t="s">
        <v>9</v>
      </c>
      <c r="C9" s="5" t="s">
        <v>10</v>
      </c>
    </row>
    <row r="10" customFormat="false" ht="16.15" hidden="false" customHeight="false" outlineLevel="0" collapsed="false">
      <c r="B10" s="3" t="s">
        <v>11</v>
      </c>
    </row>
    <row r="11" customFormat="false" ht="15" hidden="false" customHeight="false" outlineLevel="0" collapsed="false">
      <c r="B11" s="6" t="s">
        <v>12</v>
      </c>
      <c r="C11" s="5" t="s">
        <v>13</v>
      </c>
    </row>
    <row r="12" customFormat="false" ht="15" hidden="false" customHeight="false" outlineLevel="0" collapsed="false">
      <c r="B12" s="7" t="s">
        <v>14</v>
      </c>
      <c r="C12" s="5" t="s">
        <v>15</v>
      </c>
    </row>
    <row r="13" customFormat="false" ht="15" hidden="false" customHeight="false" outlineLevel="0" collapsed="false">
      <c r="B13" s="8" t="s">
        <v>16</v>
      </c>
      <c r="C13" s="5" t="s">
        <v>17</v>
      </c>
    </row>
    <row r="14" customFormat="false" ht="15" hidden="false" customHeight="false" outlineLevel="0" collapsed="false">
      <c r="B14" s="4" t="s">
        <v>18</v>
      </c>
      <c r="C14" s="5" t="s">
        <v>19</v>
      </c>
    </row>
    <row r="15" customFormat="false" ht="15" hidden="false" customHeight="false" outlineLevel="0" collapsed="false">
      <c r="B15" s="4" t="s">
        <v>20</v>
      </c>
      <c r="C15" s="5" t="s">
        <v>21</v>
      </c>
    </row>
  </sheetData>
  <mergeCells count="1">
    <mergeCell ref="B3:C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347FF"/>
    <pageSetUpPr fitToPage="false"/>
  </sheetPr>
  <dimension ref="A1:O2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3"/>
    <col collapsed="false" customWidth="true" hidden="false" outlineLevel="0" max="3" min="3" style="0" width="22"/>
    <col collapsed="false" customWidth="true" hidden="false" outlineLevel="0" max="5" min="4" style="0" width="16"/>
    <col collapsed="false" customWidth="true" hidden="false" outlineLevel="0" max="6" min="6" style="0" width="14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12" min="9" style="0" width="13"/>
    <col collapsed="false" customWidth="true" hidden="false" outlineLevel="0" max="14" min="13" style="0" width="16"/>
    <col collapsed="false" customWidth="true" hidden="false" outlineLevel="0" max="15" min="15" style="0" width="30"/>
  </cols>
  <sheetData>
    <row r="1" customFormat="false" ht="19.7" hidden="false" customHeight="false" outlineLevel="0" collapsed="false">
      <c r="A1" s="9" t="s">
        <v>22</v>
      </c>
    </row>
    <row r="2" customFormat="false" ht="15" hidden="false" customHeight="false" outlineLevel="0" collapsed="false">
      <c r="A2" s="10" t="s">
        <v>23</v>
      </c>
    </row>
    <row r="4" customFormat="false" ht="31.5" hidden="false" customHeight="true" outlineLevel="0" collapsed="false">
      <c r="A4" s="11" t="s">
        <v>24</v>
      </c>
      <c r="B4" s="11" t="s">
        <v>25</v>
      </c>
      <c r="C4" s="11" t="s">
        <v>26</v>
      </c>
      <c r="D4" s="11" t="s">
        <v>27</v>
      </c>
      <c r="E4" s="11" t="s">
        <v>28</v>
      </c>
      <c r="F4" s="11" t="s">
        <v>29</v>
      </c>
      <c r="G4" s="11" t="s">
        <v>30</v>
      </c>
      <c r="H4" s="11" t="s">
        <v>31</v>
      </c>
      <c r="I4" s="11" t="s">
        <v>32</v>
      </c>
      <c r="J4" s="11" t="s">
        <v>33</v>
      </c>
      <c r="K4" s="11" t="s">
        <v>34</v>
      </c>
      <c r="L4" s="11" t="s">
        <v>35</v>
      </c>
      <c r="M4" s="11" t="s">
        <v>36</v>
      </c>
      <c r="N4" s="11" t="s">
        <v>37</v>
      </c>
      <c r="O4" s="11" t="s">
        <v>38</v>
      </c>
    </row>
    <row r="5" customFormat="false" ht="15" hidden="false" customHeight="false" outlineLevel="0" collapsed="false">
      <c r="A5" s="12" t="n">
        <v>1001</v>
      </c>
      <c r="B5" s="13" t="n">
        <v>46307</v>
      </c>
      <c r="C5" s="12" t="s">
        <v>39</v>
      </c>
      <c r="D5" s="12" t="s">
        <v>40</v>
      </c>
      <c r="E5" s="12" t="s">
        <v>41</v>
      </c>
      <c r="F5" s="12" t="s">
        <v>42</v>
      </c>
      <c r="G5" s="12" t="s">
        <v>43</v>
      </c>
      <c r="H5" s="14" t="n">
        <v>1850</v>
      </c>
      <c r="I5" s="15" t="n">
        <v>410</v>
      </c>
      <c r="J5" s="12" t="s">
        <v>44</v>
      </c>
      <c r="K5" s="13" t="n">
        <v>46309</v>
      </c>
      <c r="L5" s="13"/>
      <c r="M5" s="16" t="n">
        <f aca="false">IF(AND(ISNUMBER(H5),ISNUMBER(I5),I5&gt;0),H5/I5,"")</f>
        <v>4.51219512195122</v>
      </c>
      <c r="N5" s="17" t="str">
        <f aca="false">IF(AND(ISNUMBER(K5),ISNUMBER(L5)),L5-K5,"")</f>
        <v/>
      </c>
      <c r="O5" s="12" t="s">
        <v>45</v>
      </c>
    </row>
    <row r="6" customFormat="false" ht="15" hidden="false" customHeight="false" outlineLevel="0" collapsed="false">
      <c r="A6" s="12"/>
      <c r="B6" s="13"/>
      <c r="C6" s="12"/>
      <c r="D6" s="12"/>
      <c r="E6" s="12"/>
      <c r="F6" s="12"/>
      <c r="G6" s="12"/>
      <c r="H6" s="14"/>
      <c r="I6" s="15"/>
      <c r="J6" s="12"/>
      <c r="K6" s="13"/>
      <c r="L6" s="13"/>
      <c r="M6" s="16" t="str">
        <f aca="false">IF(AND(ISNUMBER(H6),ISNUMBER(I6),I6&gt;0),H6/I6,"")</f>
        <v/>
      </c>
      <c r="N6" s="17" t="str">
        <f aca="false">IF(AND(ISNUMBER(K6),ISNUMBER(L6)),L6-K6,"")</f>
        <v/>
      </c>
      <c r="O6" s="12"/>
    </row>
    <row r="7" customFormat="false" ht="15" hidden="false" customHeight="false" outlineLevel="0" collapsed="false">
      <c r="A7" s="12"/>
      <c r="B7" s="13"/>
      <c r="C7" s="12"/>
      <c r="D7" s="12"/>
      <c r="E7" s="12"/>
      <c r="F7" s="12"/>
      <c r="G7" s="12"/>
      <c r="H7" s="14"/>
      <c r="I7" s="15"/>
      <c r="J7" s="12"/>
      <c r="K7" s="13"/>
      <c r="L7" s="13"/>
      <c r="M7" s="16" t="str">
        <f aca="false">IF(AND(ISNUMBER(H7),ISNUMBER(I7),I7&gt;0),H7/I7,"")</f>
        <v/>
      </c>
      <c r="N7" s="17" t="str">
        <f aca="false">IF(AND(ISNUMBER(K7),ISNUMBER(L7)),L7-K7,"")</f>
        <v/>
      </c>
      <c r="O7" s="12"/>
    </row>
    <row r="8" customFormat="false" ht="15" hidden="false" customHeight="false" outlineLevel="0" collapsed="false">
      <c r="A8" s="12"/>
      <c r="B8" s="13"/>
      <c r="C8" s="12"/>
      <c r="D8" s="12"/>
      <c r="E8" s="12"/>
      <c r="F8" s="12"/>
      <c r="G8" s="12"/>
      <c r="H8" s="14"/>
      <c r="I8" s="15"/>
      <c r="J8" s="12"/>
      <c r="K8" s="13"/>
      <c r="L8" s="13"/>
      <c r="M8" s="16" t="str">
        <f aca="false">IF(AND(ISNUMBER(H8),ISNUMBER(I8),I8&gt;0),H8/I8,"")</f>
        <v/>
      </c>
      <c r="N8" s="17" t="str">
        <f aca="false">IF(AND(ISNUMBER(K8),ISNUMBER(L8)),L8-K8,"")</f>
        <v/>
      </c>
      <c r="O8" s="12"/>
    </row>
    <row r="9" customFormat="false" ht="15" hidden="false" customHeight="false" outlineLevel="0" collapsed="false">
      <c r="A9" s="12"/>
      <c r="B9" s="13"/>
      <c r="C9" s="12"/>
      <c r="D9" s="12"/>
      <c r="E9" s="12"/>
      <c r="F9" s="12"/>
      <c r="G9" s="12"/>
      <c r="H9" s="14"/>
      <c r="I9" s="15"/>
      <c r="J9" s="12"/>
      <c r="K9" s="13"/>
      <c r="L9" s="13"/>
      <c r="M9" s="16" t="str">
        <f aca="false">IF(AND(ISNUMBER(H9),ISNUMBER(I9),I9&gt;0),H9/I9,"")</f>
        <v/>
      </c>
      <c r="N9" s="17" t="str">
        <f aca="false">IF(AND(ISNUMBER(K9),ISNUMBER(L9)),L9-K9,"")</f>
        <v/>
      </c>
      <c r="O9" s="12"/>
    </row>
    <row r="10" customFormat="false" ht="15" hidden="false" customHeight="false" outlineLevel="0" collapsed="false">
      <c r="A10" s="12"/>
      <c r="B10" s="13"/>
      <c r="C10" s="12"/>
      <c r="D10" s="12"/>
      <c r="E10" s="12"/>
      <c r="F10" s="12"/>
      <c r="G10" s="12"/>
      <c r="H10" s="14"/>
      <c r="I10" s="15"/>
      <c r="J10" s="12"/>
      <c r="K10" s="13"/>
      <c r="L10" s="13"/>
      <c r="M10" s="16" t="str">
        <f aca="false">IF(AND(ISNUMBER(H10),ISNUMBER(I10),I10&gt;0),H10/I10,"")</f>
        <v/>
      </c>
      <c r="N10" s="17" t="str">
        <f aca="false">IF(AND(ISNUMBER(K10),ISNUMBER(L10)),L10-K10,"")</f>
        <v/>
      </c>
      <c r="O10" s="12"/>
    </row>
    <row r="11" customFormat="false" ht="15" hidden="false" customHeight="false" outlineLevel="0" collapsed="false">
      <c r="A11" s="12"/>
      <c r="B11" s="13"/>
      <c r="C11" s="12"/>
      <c r="D11" s="12"/>
      <c r="E11" s="12"/>
      <c r="F11" s="12"/>
      <c r="G11" s="12"/>
      <c r="H11" s="14"/>
      <c r="I11" s="15"/>
      <c r="J11" s="12"/>
      <c r="K11" s="13"/>
      <c r="L11" s="13"/>
      <c r="M11" s="16" t="str">
        <f aca="false">IF(AND(ISNUMBER(H11),ISNUMBER(I11),I11&gt;0),H11/I11,"")</f>
        <v/>
      </c>
      <c r="N11" s="17" t="str">
        <f aca="false">IF(AND(ISNUMBER(K11),ISNUMBER(L11)),L11-K11,"")</f>
        <v/>
      </c>
      <c r="O11" s="12"/>
    </row>
    <row r="12" customFormat="false" ht="15" hidden="false" customHeight="false" outlineLevel="0" collapsed="false">
      <c r="A12" s="12"/>
      <c r="B12" s="13"/>
      <c r="C12" s="12"/>
      <c r="D12" s="12"/>
      <c r="E12" s="12"/>
      <c r="F12" s="12"/>
      <c r="G12" s="12"/>
      <c r="H12" s="14"/>
      <c r="I12" s="15"/>
      <c r="J12" s="12"/>
      <c r="K12" s="13"/>
      <c r="L12" s="13"/>
      <c r="M12" s="16" t="str">
        <f aca="false">IF(AND(ISNUMBER(H12),ISNUMBER(I12),I12&gt;0),H12/I12,"")</f>
        <v/>
      </c>
      <c r="N12" s="17" t="str">
        <f aca="false">IF(AND(ISNUMBER(K12),ISNUMBER(L12)),L12-K12,"")</f>
        <v/>
      </c>
      <c r="O12" s="12"/>
    </row>
    <row r="13" customFormat="false" ht="15" hidden="false" customHeight="false" outlineLevel="0" collapsed="false">
      <c r="A13" s="12"/>
      <c r="B13" s="13"/>
      <c r="C13" s="12"/>
      <c r="D13" s="12"/>
      <c r="E13" s="12"/>
      <c r="F13" s="12"/>
      <c r="G13" s="12"/>
      <c r="H13" s="14"/>
      <c r="I13" s="15"/>
      <c r="J13" s="12"/>
      <c r="K13" s="13"/>
      <c r="L13" s="13"/>
      <c r="M13" s="16" t="str">
        <f aca="false">IF(AND(ISNUMBER(H13),ISNUMBER(I13),I13&gt;0),H13/I13,"")</f>
        <v/>
      </c>
      <c r="N13" s="17" t="str">
        <f aca="false">IF(AND(ISNUMBER(K13),ISNUMBER(L13)),L13-K13,"")</f>
        <v/>
      </c>
      <c r="O13" s="12"/>
    </row>
    <row r="14" customFormat="false" ht="15" hidden="false" customHeight="false" outlineLevel="0" collapsed="false">
      <c r="A14" s="12"/>
      <c r="B14" s="13"/>
      <c r="C14" s="12"/>
      <c r="D14" s="12"/>
      <c r="E14" s="12"/>
      <c r="F14" s="12"/>
      <c r="G14" s="12"/>
      <c r="H14" s="14"/>
      <c r="I14" s="15"/>
      <c r="J14" s="12"/>
      <c r="K14" s="13"/>
      <c r="L14" s="13"/>
      <c r="M14" s="16" t="str">
        <f aca="false">IF(AND(ISNUMBER(H14),ISNUMBER(I14),I14&gt;0),H14/I14,"")</f>
        <v/>
      </c>
      <c r="N14" s="17" t="str">
        <f aca="false">IF(AND(ISNUMBER(K14),ISNUMBER(L14)),L14-K14,"")</f>
        <v/>
      </c>
      <c r="O14" s="12"/>
    </row>
    <row r="15" customFormat="false" ht="15" hidden="false" customHeight="false" outlineLevel="0" collapsed="false">
      <c r="A15" s="12"/>
      <c r="B15" s="13"/>
      <c r="C15" s="12"/>
      <c r="D15" s="12"/>
      <c r="E15" s="12"/>
      <c r="F15" s="12"/>
      <c r="G15" s="12"/>
      <c r="H15" s="14"/>
      <c r="I15" s="15"/>
      <c r="J15" s="12"/>
      <c r="K15" s="13"/>
      <c r="L15" s="13"/>
      <c r="M15" s="16" t="str">
        <f aca="false">IF(AND(ISNUMBER(H15),ISNUMBER(I15),I15&gt;0),H15/I15,"")</f>
        <v/>
      </c>
      <c r="N15" s="17" t="str">
        <f aca="false">IF(AND(ISNUMBER(K15),ISNUMBER(L15)),L15-K15,"")</f>
        <v/>
      </c>
      <c r="O15" s="12"/>
    </row>
    <row r="16" customFormat="false" ht="15" hidden="false" customHeight="false" outlineLevel="0" collapsed="false">
      <c r="A16" s="12"/>
      <c r="B16" s="13"/>
      <c r="C16" s="12"/>
      <c r="D16" s="12"/>
      <c r="E16" s="12"/>
      <c r="F16" s="12"/>
      <c r="G16" s="12"/>
      <c r="H16" s="14"/>
      <c r="I16" s="15"/>
      <c r="J16" s="12"/>
      <c r="K16" s="13"/>
      <c r="L16" s="13"/>
      <c r="M16" s="16" t="str">
        <f aca="false">IF(AND(ISNUMBER(H16),ISNUMBER(I16),I16&gt;0),H16/I16,"")</f>
        <v/>
      </c>
      <c r="N16" s="17" t="str">
        <f aca="false">IF(AND(ISNUMBER(K16),ISNUMBER(L16)),L16-K16,"")</f>
        <v/>
      </c>
      <c r="O16" s="12"/>
    </row>
    <row r="17" customFormat="false" ht="15" hidden="false" customHeight="false" outlineLevel="0" collapsed="false">
      <c r="A17" s="12"/>
      <c r="B17" s="13"/>
      <c r="C17" s="12"/>
      <c r="D17" s="12"/>
      <c r="E17" s="12"/>
      <c r="F17" s="12"/>
      <c r="G17" s="12"/>
      <c r="H17" s="14"/>
      <c r="I17" s="15"/>
      <c r="J17" s="12"/>
      <c r="K17" s="13"/>
      <c r="L17" s="13"/>
      <c r="M17" s="16" t="str">
        <f aca="false">IF(AND(ISNUMBER(H17),ISNUMBER(I17),I17&gt;0),H17/I17,"")</f>
        <v/>
      </c>
      <c r="N17" s="17" t="str">
        <f aca="false">IF(AND(ISNUMBER(K17),ISNUMBER(L17)),L17-K17,"")</f>
        <v/>
      </c>
      <c r="O17" s="12"/>
    </row>
    <row r="18" customFormat="false" ht="15" hidden="false" customHeight="false" outlineLevel="0" collapsed="false">
      <c r="A18" s="12"/>
      <c r="B18" s="13"/>
      <c r="C18" s="12"/>
      <c r="D18" s="12"/>
      <c r="E18" s="12"/>
      <c r="F18" s="12"/>
      <c r="G18" s="12"/>
      <c r="H18" s="14"/>
      <c r="I18" s="15"/>
      <c r="J18" s="12"/>
      <c r="K18" s="13"/>
      <c r="L18" s="13"/>
      <c r="M18" s="16" t="str">
        <f aca="false">IF(AND(ISNUMBER(H18),ISNUMBER(I18),I18&gt;0),H18/I18,"")</f>
        <v/>
      </c>
      <c r="N18" s="17" t="str">
        <f aca="false">IF(AND(ISNUMBER(K18),ISNUMBER(L18)),L18-K18,"")</f>
        <v/>
      </c>
      <c r="O18" s="12"/>
    </row>
    <row r="19" customFormat="false" ht="15" hidden="false" customHeight="false" outlineLevel="0" collapsed="false">
      <c r="A19" s="12"/>
      <c r="B19" s="13"/>
      <c r="C19" s="12"/>
      <c r="D19" s="12"/>
      <c r="E19" s="12"/>
      <c r="F19" s="12"/>
      <c r="G19" s="12"/>
      <c r="H19" s="14"/>
      <c r="I19" s="15"/>
      <c r="J19" s="12"/>
      <c r="K19" s="13"/>
      <c r="L19" s="13"/>
      <c r="M19" s="16" t="str">
        <f aca="false">IF(AND(ISNUMBER(H19),ISNUMBER(I19),I19&gt;0),H19/I19,"")</f>
        <v/>
      </c>
      <c r="N19" s="17" t="str">
        <f aca="false">IF(AND(ISNUMBER(K19),ISNUMBER(L19)),L19-K19,"")</f>
        <v/>
      </c>
      <c r="O19" s="12"/>
    </row>
    <row r="20" customFormat="false" ht="15" hidden="false" customHeight="false" outlineLevel="0" collapsed="false">
      <c r="A20" s="12"/>
      <c r="B20" s="13"/>
      <c r="C20" s="12"/>
      <c r="D20" s="12"/>
      <c r="E20" s="12"/>
      <c r="F20" s="12"/>
      <c r="G20" s="12"/>
      <c r="H20" s="14"/>
      <c r="I20" s="15"/>
      <c r="J20" s="12"/>
      <c r="K20" s="13"/>
      <c r="L20" s="13"/>
      <c r="M20" s="16" t="str">
        <f aca="false">IF(AND(ISNUMBER(H20),ISNUMBER(I20),I20&gt;0),H20/I20,"")</f>
        <v/>
      </c>
      <c r="N20" s="17" t="str">
        <f aca="false">IF(AND(ISNUMBER(K20),ISNUMBER(L20)),L20-K20,"")</f>
        <v/>
      </c>
      <c r="O20" s="12"/>
    </row>
    <row r="21" customFormat="false" ht="15" hidden="false" customHeight="false" outlineLevel="0" collapsed="false">
      <c r="A21" s="12"/>
      <c r="B21" s="13"/>
      <c r="C21" s="12"/>
      <c r="D21" s="12"/>
      <c r="E21" s="12"/>
      <c r="F21" s="12"/>
      <c r="G21" s="12"/>
      <c r="H21" s="14"/>
      <c r="I21" s="15"/>
      <c r="J21" s="12"/>
      <c r="K21" s="13"/>
      <c r="L21" s="13"/>
      <c r="M21" s="16" t="str">
        <f aca="false">IF(AND(ISNUMBER(H21),ISNUMBER(I21),I21&gt;0),H21/I21,"")</f>
        <v/>
      </c>
      <c r="N21" s="17" t="str">
        <f aca="false">IF(AND(ISNUMBER(K21),ISNUMBER(L21)),L21-K21,"")</f>
        <v/>
      </c>
      <c r="O21" s="12"/>
    </row>
    <row r="22" customFormat="false" ht="15" hidden="false" customHeight="false" outlineLevel="0" collapsed="false">
      <c r="A22" s="12"/>
      <c r="B22" s="13"/>
      <c r="C22" s="12"/>
      <c r="D22" s="12"/>
      <c r="E22" s="12"/>
      <c r="F22" s="12"/>
      <c r="G22" s="12"/>
      <c r="H22" s="14"/>
      <c r="I22" s="15"/>
      <c r="J22" s="12"/>
      <c r="K22" s="13"/>
      <c r="L22" s="13"/>
      <c r="M22" s="16" t="str">
        <f aca="false">IF(AND(ISNUMBER(H22),ISNUMBER(I22),I22&gt;0),H22/I22,"")</f>
        <v/>
      </c>
      <c r="N22" s="17" t="str">
        <f aca="false">IF(AND(ISNUMBER(K22),ISNUMBER(L22)),L22-K22,"")</f>
        <v/>
      </c>
      <c r="O22" s="12"/>
    </row>
    <row r="23" customFormat="false" ht="15" hidden="false" customHeight="false" outlineLevel="0" collapsed="false">
      <c r="A23" s="12"/>
      <c r="B23" s="13"/>
      <c r="C23" s="12"/>
      <c r="D23" s="12"/>
      <c r="E23" s="12"/>
      <c r="F23" s="12"/>
      <c r="G23" s="12"/>
      <c r="H23" s="14"/>
      <c r="I23" s="15"/>
      <c r="J23" s="12"/>
      <c r="K23" s="13"/>
      <c r="L23" s="13"/>
      <c r="M23" s="16" t="str">
        <f aca="false">IF(AND(ISNUMBER(H23),ISNUMBER(I23),I23&gt;0),H23/I23,"")</f>
        <v/>
      </c>
      <c r="N23" s="17" t="str">
        <f aca="false">IF(AND(ISNUMBER(K23),ISNUMBER(L23)),L23-K23,"")</f>
        <v/>
      </c>
      <c r="O23" s="12"/>
    </row>
    <row r="24" customFormat="false" ht="15" hidden="false" customHeight="false" outlineLevel="0" collapsed="false">
      <c r="A24" s="12"/>
      <c r="B24" s="13"/>
      <c r="C24" s="12"/>
      <c r="D24" s="12"/>
      <c r="E24" s="12"/>
      <c r="F24" s="12"/>
      <c r="G24" s="12"/>
      <c r="H24" s="14"/>
      <c r="I24" s="15"/>
      <c r="J24" s="12"/>
      <c r="K24" s="13"/>
      <c r="L24" s="13"/>
      <c r="M24" s="16" t="str">
        <f aca="false">IF(AND(ISNUMBER(H24),ISNUMBER(I24),I24&gt;0),H24/I24,"")</f>
        <v/>
      </c>
      <c r="N24" s="17" t="str">
        <f aca="false">IF(AND(ISNUMBER(K24),ISNUMBER(L24)),L24-K24,"")</f>
        <v/>
      </c>
      <c r="O24" s="12"/>
    </row>
    <row r="25" customFormat="false" ht="15" hidden="false" customHeight="false" outlineLevel="0" collapsed="false">
      <c r="A25" s="12"/>
      <c r="B25" s="13"/>
      <c r="C25" s="12"/>
      <c r="D25" s="12"/>
      <c r="E25" s="12"/>
      <c r="F25" s="12"/>
      <c r="G25" s="12"/>
      <c r="H25" s="14"/>
      <c r="I25" s="15"/>
      <c r="J25" s="12"/>
      <c r="K25" s="13"/>
      <c r="L25" s="13"/>
      <c r="M25" s="16" t="str">
        <f aca="false">IF(AND(ISNUMBER(H25),ISNUMBER(I25),I25&gt;0),H25/I25,"")</f>
        <v/>
      </c>
      <c r="N25" s="17" t="str">
        <f aca="false">IF(AND(ISNUMBER(K25),ISNUMBER(L25)),L25-K25,"")</f>
        <v/>
      </c>
      <c r="O25" s="12"/>
    </row>
    <row r="26" customFormat="false" ht="15" hidden="false" customHeight="false" outlineLevel="0" collapsed="false">
      <c r="A26" s="12"/>
      <c r="B26" s="13"/>
      <c r="C26" s="12"/>
      <c r="D26" s="12"/>
      <c r="E26" s="12"/>
      <c r="F26" s="12"/>
      <c r="G26" s="12"/>
      <c r="H26" s="14"/>
      <c r="I26" s="15"/>
      <c r="J26" s="12"/>
      <c r="K26" s="13"/>
      <c r="L26" s="13"/>
      <c r="M26" s="16" t="str">
        <f aca="false">IF(AND(ISNUMBER(H26),ISNUMBER(I26),I26&gt;0),H26/I26,"")</f>
        <v/>
      </c>
      <c r="N26" s="17" t="str">
        <f aca="false">IF(AND(ISNUMBER(K26),ISNUMBER(L26)),L26-K26,"")</f>
        <v/>
      </c>
      <c r="O26" s="12"/>
    </row>
    <row r="27" customFormat="false" ht="15" hidden="false" customHeight="false" outlineLevel="0" collapsed="false">
      <c r="A27" s="12"/>
      <c r="B27" s="13"/>
      <c r="C27" s="12"/>
      <c r="D27" s="12"/>
      <c r="E27" s="12"/>
      <c r="F27" s="12"/>
      <c r="G27" s="12"/>
      <c r="H27" s="14"/>
      <c r="I27" s="15"/>
      <c r="J27" s="12"/>
      <c r="K27" s="13"/>
      <c r="L27" s="13"/>
      <c r="M27" s="16" t="str">
        <f aca="false">IF(AND(ISNUMBER(H27),ISNUMBER(I27),I27&gt;0),H27/I27,"")</f>
        <v/>
      </c>
      <c r="N27" s="17" t="str">
        <f aca="false">IF(AND(ISNUMBER(K27),ISNUMBER(L27)),L27-K27,"")</f>
        <v/>
      </c>
      <c r="O27" s="12"/>
    </row>
    <row r="28" customFormat="false" ht="15" hidden="false" customHeight="false" outlineLevel="0" collapsed="false">
      <c r="A28" s="12"/>
      <c r="B28" s="13"/>
      <c r="C28" s="12"/>
      <c r="D28" s="12"/>
      <c r="E28" s="12"/>
      <c r="F28" s="12"/>
      <c r="G28" s="12"/>
      <c r="H28" s="14"/>
      <c r="I28" s="15"/>
      <c r="J28" s="12"/>
      <c r="K28" s="13"/>
      <c r="L28" s="13"/>
      <c r="M28" s="16" t="str">
        <f aca="false">IF(AND(ISNUMBER(H28),ISNUMBER(I28),I28&gt;0),H28/I28,"")</f>
        <v/>
      </c>
      <c r="N28" s="17" t="str">
        <f aca="false">IF(AND(ISNUMBER(K28),ISNUMBER(L28)),L28-K28,"")</f>
        <v/>
      </c>
      <c r="O28" s="12"/>
    </row>
    <row r="29" customFormat="false" ht="15" hidden="false" customHeight="false" outlineLevel="0" collapsed="false">
      <c r="A29" s="12"/>
      <c r="B29" s="13"/>
      <c r="C29" s="12"/>
      <c r="D29" s="12"/>
      <c r="E29" s="12"/>
      <c r="F29" s="12"/>
      <c r="G29" s="12"/>
      <c r="H29" s="14"/>
      <c r="I29" s="15"/>
      <c r="J29" s="12"/>
      <c r="K29" s="13"/>
      <c r="L29" s="13"/>
      <c r="M29" s="16" t="str">
        <f aca="false">IF(AND(ISNUMBER(H29),ISNUMBER(I29),I29&gt;0),H29/I29,"")</f>
        <v/>
      </c>
      <c r="N29" s="17" t="str">
        <f aca="false">IF(AND(ISNUMBER(K29),ISNUMBER(L29)),L29-K29,"")</f>
        <v/>
      </c>
      <c r="O29" s="12"/>
    </row>
    <row r="30" customFormat="false" ht="15" hidden="false" customHeight="false" outlineLevel="0" collapsed="false">
      <c r="A30" s="12"/>
      <c r="B30" s="13"/>
      <c r="C30" s="12"/>
      <c r="D30" s="12"/>
      <c r="E30" s="12"/>
      <c r="F30" s="12"/>
      <c r="G30" s="12"/>
      <c r="H30" s="14"/>
      <c r="I30" s="15"/>
      <c r="J30" s="12"/>
      <c r="K30" s="13"/>
      <c r="L30" s="13"/>
      <c r="M30" s="16" t="str">
        <f aca="false">IF(AND(ISNUMBER(H30),ISNUMBER(I30),I30&gt;0),H30/I30,"")</f>
        <v/>
      </c>
      <c r="N30" s="17" t="str">
        <f aca="false">IF(AND(ISNUMBER(K30),ISNUMBER(L30)),L30-K30,"")</f>
        <v/>
      </c>
      <c r="O30" s="12"/>
    </row>
    <row r="31" customFormat="false" ht="15" hidden="false" customHeight="false" outlineLevel="0" collapsed="false">
      <c r="A31" s="12"/>
      <c r="B31" s="13"/>
      <c r="C31" s="12"/>
      <c r="D31" s="12"/>
      <c r="E31" s="12"/>
      <c r="F31" s="12"/>
      <c r="G31" s="12"/>
      <c r="H31" s="14"/>
      <c r="I31" s="15"/>
      <c r="J31" s="12"/>
      <c r="K31" s="13"/>
      <c r="L31" s="13"/>
      <c r="M31" s="16" t="str">
        <f aca="false">IF(AND(ISNUMBER(H31),ISNUMBER(I31),I31&gt;0),H31/I31,"")</f>
        <v/>
      </c>
      <c r="N31" s="17" t="str">
        <f aca="false">IF(AND(ISNUMBER(K31),ISNUMBER(L31)),L31-K31,"")</f>
        <v/>
      </c>
      <c r="O31" s="12"/>
    </row>
    <row r="32" customFormat="false" ht="15" hidden="false" customHeight="false" outlineLevel="0" collapsed="false">
      <c r="A32" s="12"/>
      <c r="B32" s="13"/>
      <c r="C32" s="12"/>
      <c r="D32" s="12"/>
      <c r="E32" s="12"/>
      <c r="F32" s="12"/>
      <c r="G32" s="12"/>
      <c r="H32" s="14"/>
      <c r="I32" s="15"/>
      <c r="J32" s="12"/>
      <c r="K32" s="13"/>
      <c r="L32" s="13"/>
      <c r="M32" s="16" t="str">
        <f aca="false">IF(AND(ISNUMBER(H32),ISNUMBER(I32),I32&gt;0),H32/I32,"")</f>
        <v/>
      </c>
      <c r="N32" s="17" t="str">
        <f aca="false">IF(AND(ISNUMBER(K32),ISNUMBER(L32)),L32-K32,"")</f>
        <v/>
      </c>
      <c r="O32" s="12"/>
    </row>
    <row r="33" customFormat="false" ht="15" hidden="false" customHeight="false" outlineLevel="0" collapsed="false">
      <c r="A33" s="12"/>
      <c r="B33" s="13"/>
      <c r="C33" s="12"/>
      <c r="D33" s="12"/>
      <c r="E33" s="12"/>
      <c r="F33" s="12"/>
      <c r="G33" s="12"/>
      <c r="H33" s="14"/>
      <c r="I33" s="15"/>
      <c r="J33" s="12"/>
      <c r="K33" s="13"/>
      <c r="L33" s="13"/>
      <c r="M33" s="16" t="str">
        <f aca="false">IF(AND(ISNUMBER(H33),ISNUMBER(I33),I33&gt;0),H33/I33,"")</f>
        <v/>
      </c>
      <c r="N33" s="17" t="str">
        <f aca="false">IF(AND(ISNUMBER(K33),ISNUMBER(L33)),L33-K33,"")</f>
        <v/>
      </c>
      <c r="O33" s="12"/>
    </row>
    <row r="34" customFormat="false" ht="15" hidden="false" customHeight="false" outlineLevel="0" collapsed="false">
      <c r="A34" s="12"/>
      <c r="B34" s="13"/>
      <c r="C34" s="12"/>
      <c r="D34" s="12"/>
      <c r="E34" s="12"/>
      <c r="F34" s="12"/>
      <c r="G34" s="12"/>
      <c r="H34" s="14"/>
      <c r="I34" s="15"/>
      <c r="J34" s="12"/>
      <c r="K34" s="13"/>
      <c r="L34" s="13"/>
      <c r="M34" s="16" t="str">
        <f aca="false">IF(AND(ISNUMBER(H34),ISNUMBER(I34),I34&gt;0),H34/I34,"")</f>
        <v/>
      </c>
      <c r="N34" s="17" t="str">
        <f aca="false">IF(AND(ISNUMBER(K34),ISNUMBER(L34)),L34-K34,"")</f>
        <v/>
      </c>
      <c r="O34" s="12"/>
    </row>
    <row r="35" customFormat="false" ht="15" hidden="false" customHeight="false" outlineLevel="0" collapsed="false">
      <c r="A35" s="12"/>
      <c r="B35" s="13"/>
      <c r="C35" s="12"/>
      <c r="D35" s="12"/>
      <c r="E35" s="12"/>
      <c r="F35" s="12"/>
      <c r="G35" s="12"/>
      <c r="H35" s="14"/>
      <c r="I35" s="15"/>
      <c r="J35" s="12"/>
      <c r="K35" s="13"/>
      <c r="L35" s="13"/>
      <c r="M35" s="16" t="str">
        <f aca="false">IF(AND(ISNUMBER(H35),ISNUMBER(I35),I35&gt;0),H35/I35,"")</f>
        <v/>
      </c>
      <c r="N35" s="17" t="str">
        <f aca="false">IF(AND(ISNUMBER(K35),ISNUMBER(L35)),L35-K35,"")</f>
        <v/>
      </c>
      <c r="O35" s="12"/>
    </row>
    <row r="36" customFormat="false" ht="15" hidden="false" customHeight="false" outlineLevel="0" collapsed="false">
      <c r="A36" s="12"/>
      <c r="B36" s="13"/>
      <c r="C36" s="12"/>
      <c r="D36" s="12"/>
      <c r="E36" s="12"/>
      <c r="F36" s="12"/>
      <c r="G36" s="12"/>
      <c r="H36" s="14"/>
      <c r="I36" s="15"/>
      <c r="J36" s="12"/>
      <c r="K36" s="13"/>
      <c r="L36" s="13"/>
      <c r="M36" s="16" t="str">
        <f aca="false">IF(AND(ISNUMBER(H36),ISNUMBER(I36),I36&gt;0),H36/I36,"")</f>
        <v/>
      </c>
      <c r="N36" s="17" t="str">
        <f aca="false">IF(AND(ISNUMBER(K36),ISNUMBER(L36)),L36-K36,"")</f>
        <v/>
      </c>
      <c r="O36" s="12"/>
    </row>
    <row r="37" customFormat="false" ht="15" hidden="false" customHeight="false" outlineLevel="0" collapsed="false">
      <c r="A37" s="12"/>
      <c r="B37" s="13"/>
      <c r="C37" s="12"/>
      <c r="D37" s="12"/>
      <c r="E37" s="12"/>
      <c r="F37" s="12"/>
      <c r="G37" s="12"/>
      <c r="H37" s="14"/>
      <c r="I37" s="15"/>
      <c r="J37" s="12"/>
      <c r="K37" s="13"/>
      <c r="L37" s="13"/>
      <c r="M37" s="16" t="str">
        <f aca="false">IF(AND(ISNUMBER(H37),ISNUMBER(I37),I37&gt;0),H37/I37,"")</f>
        <v/>
      </c>
      <c r="N37" s="17" t="str">
        <f aca="false">IF(AND(ISNUMBER(K37),ISNUMBER(L37)),L37-K37,"")</f>
        <v/>
      </c>
      <c r="O37" s="12"/>
    </row>
    <row r="38" customFormat="false" ht="15" hidden="false" customHeight="false" outlineLevel="0" collapsed="false">
      <c r="A38" s="12"/>
      <c r="B38" s="13"/>
      <c r="C38" s="12"/>
      <c r="D38" s="12"/>
      <c r="E38" s="12"/>
      <c r="F38" s="12"/>
      <c r="G38" s="12"/>
      <c r="H38" s="14"/>
      <c r="I38" s="15"/>
      <c r="J38" s="12"/>
      <c r="K38" s="13"/>
      <c r="L38" s="13"/>
      <c r="M38" s="16" t="str">
        <f aca="false">IF(AND(ISNUMBER(H38),ISNUMBER(I38),I38&gt;0),H38/I38,"")</f>
        <v/>
      </c>
      <c r="N38" s="17" t="str">
        <f aca="false">IF(AND(ISNUMBER(K38),ISNUMBER(L38)),L38-K38,"")</f>
        <v/>
      </c>
      <c r="O38" s="12"/>
    </row>
    <row r="39" customFormat="false" ht="15" hidden="false" customHeight="false" outlineLevel="0" collapsed="false">
      <c r="A39" s="12"/>
      <c r="B39" s="13"/>
      <c r="C39" s="12"/>
      <c r="D39" s="12"/>
      <c r="E39" s="12"/>
      <c r="F39" s="12"/>
      <c r="G39" s="12"/>
      <c r="H39" s="14"/>
      <c r="I39" s="15"/>
      <c r="J39" s="12"/>
      <c r="K39" s="13"/>
      <c r="L39" s="13"/>
      <c r="M39" s="16" t="str">
        <f aca="false">IF(AND(ISNUMBER(H39),ISNUMBER(I39),I39&gt;0),H39/I39,"")</f>
        <v/>
      </c>
      <c r="N39" s="17" t="str">
        <f aca="false">IF(AND(ISNUMBER(K39),ISNUMBER(L39)),L39-K39,"")</f>
        <v/>
      </c>
      <c r="O39" s="12"/>
    </row>
    <row r="40" customFormat="false" ht="15" hidden="false" customHeight="false" outlineLevel="0" collapsed="false">
      <c r="A40" s="12"/>
      <c r="B40" s="13"/>
      <c r="C40" s="12"/>
      <c r="D40" s="12"/>
      <c r="E40" s="12"/>
      <c r="F40" s="12"/>
      <c r="G40" s="12"/>
      <c r="H40" s="14"/>
      <c r="I40" s="15"/>
      <c r="J40" s="12"/>
      <c r="K40" s="13"/>
      <c r="L40" s="13"/>
      <c r="M40" s="16" t="str">
        <f aca="false">IF(AND(ISNUMBER(H40),ISNUMBER(I40),I40&gt;0),H40/I40,"")</f>
        <v/>
      </c>
      <c r="N40" s="17" t="str">
        <f aca="false">IF(AND(ISNUMBER(K40),ISNUMBER(L40)),L40-K40,"")</f>
        <v/>
      </c>
      <c r="O40" s="12"/>
    </row>
    <row r="41" customFormat="false" ht="15" hidden="false" customHeight="false" outlineLevel="0" collapsed="false">
      <c r="A41" s="12"/>
      <c r="B41" s="13"/>
      <c r="C41" s="12"/>
      <c r="D41" s="12"/>
      <c r="E41" s="12"/>
      <c r="F41" s="12"/>
      <c r="G41" s="12"/>
      <c r="H41" s="14"/>
      <c r="I41" s="15"/>
      <c r="J41" s="12"/>
      <c r="K41" s="13"/>
      <c r="L41" s="13"/>
      <c r="M41" s="16" t="str">
        <f aca="false">IF(AND(ISNUMBER(H41),ISNUMBER(I41),I41&gt;0),H41/I41,"")</f>
        <v/>
      </c>
      <c r="N41" s="17" t="str">
        <f aca="false">IF(AND(ISNUMBER(K41),ISNUMBER(L41)),L41-K41,"")</f>
        <v/>
      </c>
      <c r="O41" s="12"/>
    </row>
    <row r="42" customFormat="false" ht="15" hidden="false" customHeight="false" outlineLevel="0" collapsed="false">
      <c r="A42" s="12"/>
      <c r="B42" s="13"/>
      <c r="C42" s="12"/>
      <c r="D42" s="12"/>
      <c r="E42" s="12"/>
      <c r="F42" s="12"/>
      <c r="G42" s="12"/>
      <c r="H42" s="14"/>
      <c r="I42" s="15"/>
      <c r="J42" s="12"/>
      <c r="K42" s="13"/>
      <c r="L42" s="13"/>
      <c r="M42" s="16" t="str">
        <f aca="false">IF(AND(ISNUMBER(H42),ISNUMBER(I42),I42&gt;0),H42/I42,"")</f>
        <v/>
      </c>
      <c r="N42" s="17" t="str">
        <f aca="false">IF(AND(ISNUMBER(K42),ISNUMBER(L42)),L42-K42,"")</f>
        <v/>
      </c>
      <c r="O42" s="12"/>
    </row>
    <row r="43" customFormat="false" ht="15" hidden="false" customHeight="false" outlineLevel="0" collapsed="false">
      <c r="A43" s="12"/>
      <c r="B43" s="13"/>
      <c r="C43" s="12"/>
      <c r="D43" s="12"/>
      <c r="E43" s="12"/>
      <c r="F43" s="12"/>
      <c r="G43" s="12"/>
      <c r="H43" s="14"/>
      <c r="I43" s="15"/>
      <c r="J43" s="12"/>
      <c r="K43" s="13"/>
      <c r="L43" s="13"/>
      <c r="M43" s="16" t="str">
        <f aca="false">IF(AND(ISNUMBER(H43),ISNUMBER(I43),I43&gt;0),H43/I43,"")</f>
        <v/>
      </c>
      <c r="N43" s="17" t="str">
        <f aca="false">IF(AND(ISNUMBER(K43),ISNUMBER(L43)),L43-K43,"")</f>
        <v/>
      </c>
      <c r="O43" s="12"/>
    </row>
    <row r="44" customFormat="false" ht="15" hidden="false" customHeight="false" outlineLevel="0" collapsed="false">
      <c r="A44" s="12"/>
      <c r="B44" s="13"/>
      <c r="C44" s="12"/>
      <c r="D44" s="12"/>
      <c r="E44" s="12"/>
      <c r="F44" s="12"/>
      <c r="G44" s="12"/>
      <c r="H44" s="14"/>
      <c r="I44" s="15"/>
      <c r="J44" s="12"/>
      <c r="K44" s="13"/>
      <c r="L44" s="13"/>
      <c r="M44" s="16" t="str">
        <f aca="false">IF(AND(ISNUMBER(H44),ISNUMBER(I44),I44&gt;0),H44/I44,"")</f>
        <v/>
      </c>
      <c r="N44" s="17" t="str">
        <f aca="false">IF(AND(ISNUMBER(K44),ISNUMBER(L44)),L44-K44,"")</f>
        <v/>
      </c>
      <c r="O44" s="12"/>
    </row>
    <row r="45" customFormat="false" ht="15" hidden="false" customHeight="false" outlineLevel="0" collapsed="false">
      <c r="A45" s="12"/>
      <c r="B45" s="13"/>
      <c r="C45" s="12"/>
      <c r="D45" s="12"/>
      <c r="E45" s="12"/>
      <c r="F45" s="12"/>
      <c r="G45" s="12"/>
      <c r="H45" s="14"/>
      <c r="I45" s="15"/>
      <c r="J45" s="12"/>
      <c r="K45" s="13"/>
      <c r="L45" s="13"/>
      <c r="M45" s="16" t="str">
        <f aca="false">IF(AND(ISNUMBER(H45),ISNUMBER(I45),I45&gt;0),H45/I45,"")</f>
        <v/>
      </c>
      <c r="N45" s="17" t="str">
        <f aca="false">IF(AND(ISNUMBER(K45),ISNUMBER(L45)),L45-K45,"")</f>
        <v/>
      </c>
      <c r="O45" s="12"/>
    </row>
    <row r="46" customFormat="false" ht="15" hidden="false" customHeight="false" outlineLevel="0" collapsed="false">
      <c r="A46" s="12"/>
      <c r="B46" s="13"/>
      <c r="C46" s="12"/>
      <c r="D46" s="12"/>
      <c r="E46" s="12"/>
      <c r="F46" s="12"/>
      <c r="G46" s="12"/>
      <c r="H46" s="14"/>
      <c r="I46" s="15"/>
      <c r="J46" s="12"/>
      <c r="K46" s="13"/>
      <c r="L46" s="13"/>
      <c r="M46" s="16" t="str">
        <f aca="false">IF(AND(ISNUMBER(H46),ISNUMBER(I46),I46&gt;0),H46/I46,"")</f>
        <v/>
      </c>
      <c r="N46" s="17" t="str">
        <f aca="false">IF(AND(ISNUMBER(K46),ISNUMBER(L46)),L46-K46,"")</f>
        <v/>
      </c>
      <c r="O46" s="12"/>
    </row>
    <row r="47" customFormat="false" ht="15" hidden="false" customHeight="false" outlineLevel="0" collapsed="false">
      <c r="A47" s="12"/>
      <c r="B47" s="13"/>
      <c r="C47" s="12"/>
      <c r="D47" s="12"/>
      <c r="E47" s="12"/>
      <c r="F47" s="12"/>
      <c r="G47" s="12"/>
      <c r="H47" s="14"/>
      <c r="I47" s="15"/>
      <c r="J47" s="12"/>
      <c r="K47" s="13"/>
      <c r="L47" s="13"/>
      <c r="M47" s="16" t="str">
        <f aca="false">IF(AND(ISNUMBER(H47),ISNUMBER(I47),I47&gt;0),H47/I47,"")</f>
        <v/>
      </c>
      <c r="N47" s="17" t="str">
        <f aca="false">IF(AND(ISNUMBER(K47),ISNUMBER(L47)),L47-K47,"")</f>
        <v/>
      </c>
      <c r="O47" s="12"/>
    </row>
    <row r="48" customFormat="false" ht="15" hidden="false" customHeight="false" outlineLevel="0" collapsed="false">
      <c r="A48" s="12"/>
      <c r="B48" s="13"/>
      <c r="C48" s="12"/>
      <c r="D48" s="12"/>
      <c r="E48" s="12"/>
      <c r="F48" s="12"/>
      <c r="G48" s="12"/>
      <c r="H48" s="14"/>
      <c r="I48" s="15"/>
      <c r="J48" s="12"/>
      <c r="K48" s="13"/>
      <c r="L48" s="13"/>
      <c r="M48" s="16" t="str">
        <f aca="false">IF(AND(ISNUMBER(H48),ISNUMBER(I48),I48&gt;0),H48/I48,"")</f>
        <v/>
      </c>
      <c r="N48" s="17" t="str">
        <f aca="false">IF(AND(ISNUMBER(K48),ISNUMBER(L48)),L48-K48,"")</f>
        <v/>
      </c>
      <c r="O48" s="12"/>
    </row>
    <row r="49" customFormat="false" ht="15" hidden="false" customHeight="false" outlineLevel="0" collapsed="false">
      <c r="A49" s="12"/>
      <c r="B49" s="13"/>
      <c r="C49" s="12"/>
      <c r="D49" s="12"/>
      <c r="E49" s="12"/>
      <c r="F49" s="12"/>
      <c r="G49" s="12"/>
      <c r="H49" s="14"/>
      <c r="I49" s="15"/>
      <c r="J49" s="12"/>
      <c r="K49" s="13"/>
      <c r="L49" s="13"/>
      <c r="M49" s="16" t="str">
        <f aca="false">IF(AND(ISNUMBER(H49),ISNUMBER(I49),I49&gt;0),H49/I49,"")</f>
        <v/>
      </c>
      <c r="N49" s="17" t="str">
        <f aca="false">IF(AND(ISNUMBER(K49),ISNUMBER(L49)),L49-K49,"")</f>
        <v/>
      </c>
      <c r="O49" s="12"/>
    </row>
    <row r="50" customFormat="false" ht="15" hidden="false" customHeight="false" outlineLevel="0" collapsed="false">
      <c r="A50" s="12"/>
      <c r="B50" s="13"/>
      <c r="C50" s="12"/>
      <c r="D50" s="12"/>
      <c r="E50" s="12"/>
      <c r="F50" s="12"/>
      <c r="G50" s="12"/>
      <c r="H50" s="14"/>
      <c r="I50" s="15"/>
      <c r="J50" s="12"/>
      <c r="K50" s="13"/>
      <c r="L50" s="13"/>
      <c r="M50" s="16" t="str">
        <f aca="false">IF(AND(ISNUMBER(H50),ISNUMBER(I50),I50&gt;0),H50/I50,"")</f>
        <v/>
      </c>
      <c r="N50" s="17" t="str">
        <f aca="false">IF(AND(ISNUMBER(K50),ISNUMBER(L50)),L50-K50,"")</f>
        <v/>
      </c>
      <c r="O50" s="12"/>
    </row>
    <row r="51" customFormat="false" ht="15" hidden="false" customHeight="false" outlineLevel="0" collapsed="false">
      <c r="A51" s="12"/>
      <c r="B51" s="13"/>
      <c r="C51" s="12"/>
      <c r="D51" s="12"/>
      <c r="E51" s="12"/>
      <c r="F51" s="12"/>
      <c r="G51" s="12"/>
      <c r="H51" s="14"/>
      <c r="I51" s="15"/>
      <c r="J51" s="12"/>
      <c r="K51" s="13"/>
      <c r="L51" s="13"/>
      <c r="M51" s="16" t="str">
        <f aca="false">IF(AND(ISNUMBER(H51),ISNUMBER(I51),I51&gt;0),H51/I51,"")</f>
        <v/>
      </c>
      <c r="N51" s="17" t="str">
        <f aca="false">IF(AND(ISNUMBER(K51),ISNUMBER(L51)),L51-K51,"")</f>
        <v/>
      </c>
      <c r="O51" s="12"/>
    </row>
    <row r="52" customFormat="false" ht="15" hidden="false" customHeight="false" outlineLevel="0" collapsed="false">
      <c r="A52" s="12"/>
      <c r="B52" s="13"/>
      <c r="C52" s="12"/>
      <c r="D52" s="12"/>
      <c r="E52" s="12"/>
      <c r="F52" s="12"/>
      <c r="G52" s="12"/>
      <c r="H52" s="14"/>
      <c r="I52" s="15"/>
      <c r="J52" s="12"/>
      <c r="K52" s="13"/>
      <c r="L52" s="13"/>
      <c r="M52" s="16" t="str">
        <f aca="false">IF(AND(ISNUMBER(H52),ISNUMBER(I52),I52&gt;0),H52/I52,"")</f>
        <v/>
      </c>
      <c r="N52" s="17" t="str">
        <f aca="false">IF(AND(ISNUMBER(K52),ISNUMBER(L52)),L52-K52,"")</f>
        <v/>
      </c>
      <c r="O52" s="12"/>
    </row>
    <row r="53" customFormat="false" ht="15" hidden="false" customHeight="false" outlineLevel="0" collapsed="false">
      <c r="A53" s="12"/>
      <c r="B53" s="13"/>
      <c r="C53" s="12"/>
      <c r="D53" s="12"/>
      <c r="E53" s="12"/>
      <c r="F53" s="12"/>
      <c r="G53" s="12"/>
      <c r="H53" s="14"/>
      <c r="I53" s="15"/>
      <c r="J53" s="12"/>
      <c r="K53" s="13"/>
      <c r="L53" s="13"/>
      <c r="M53" s="16" t="str">
        <f aca="false">IF(AND(ISNUMBER(H53),ISNUMBER(I53),I53&gt;0),H53/I53,"")</f>
        <v/>
      </c>
      <c r="N53" s="17" t="str">
        <f aca="false">IF(AND(ISNUMBER(K53),ISNUMBER(L53)),L53-K53,"")</f>
        <v/>
      </c>
      <c r="O53" s="12"/>
    </row>
    <row r="54" customFormat="false" ht="15" hidden="false" customHeight="false" outlineLevel="0" collapsed="false">
      <c r="A54" s="12"/>
      <c r="B54" s="13"/>
      <c r="C54" s="12"/>
      <c r="D54" s="12"/>
      <c r="E54" s="12"/>
      <c r="F54" s="12"/>
      <c r="G54" s="12"/>
      <c r="H54" s="14"/>
      <c r="I54" s="15"/>
      <c r="J54" s="12"/>
      <c r="K54" s="13"/>
      <c r="L54" s="13"/>
      <c r="M54" s="16" t="str">
        <f aca="false">IF(AND(ISNUMBER(H54),ISNUMBER(I54),I54&gt;0),H54/I54,"")</f>
        <v/>
      </c>
      <c r="N54" s="17" t="str">
        <f aca="false">IF(AND(ISNUMBER(K54),ISNUMBER(L54)),L54-K54,"")</f>
        <v/>
      </c>
      <c r="O54" s="12"/>
    </row>
    <row r="55" customFormat="false" ht="15" hidden="false" customHeight="false" outlineLevel="0" collapsed="false">
      <c r="A55" s="12"/>
      <c r="B55" s="13"/>
      <c r="C55" s="12"/>
      <c r="D55" s="12"/>
      <c r="E55" s="12"/>
      <c r="F55" s="12"/>
      <c r="G55" s="12"/>
      <c r="H55" s="14"/>
      <c r="I55" s="15"/>
      <c r="J55" s="12"/>
      <c r="K55" s="13"/>
      <c r="L55" s="13"/>
      <c r="M55" s="16" t="str">
        <f aca="false">IF(AND(ISNUMBER(H55),ISNUMBER(I55),I55&gt;0),H55/I55,"")</f>
        <v/>
      </c>
      <c r="N55" s="17" t="str">
        <f aca="false">IF(AND(ISNUMBER(K55),ISNUMBER(L55)),L55-K55,"")</f>
        <v/>
      </c>
      <c r="O55" s="12"/>
    </row>
    <row r="56" customFormat="false" ht="15" hidden="false" customHeight="false" outlineLevel="0" collapsed="false">
      <c r="A56" s="12"/>
      <c r="B56" s="13"/>
      <c r="C56" s="12"/>
      <c r="D56" s="12"/>
      <c r="E56" s="12"/>
      <c r="F56" s="12"/>
      <c r="G56" s="12"/>
      <c r="H56" s="14"/>
      <c r="I56" s="15"/>
      <c r="J56" s="12"/>
      <c r="K56" s="13"/>
      <c r="L56" s="13"/>
      <c r="M56" s="16" t="str">
        <f aca="false">IF(AND(ISNUMBER(H56),ISNUMBER(I56),I56&gt;0),H56/I56,"")</f>
        <v/>
      </c>
      <c r="N56" s="17" t="str">
        <f aca="false">IF(AND(ISNUMBER(K56),ISNUMBER(L56)),L56-K56,"")</f>
        <v/>
      </c>
      <c r="O56" s="12"/>
    </row>
    <row r="57" customFormat="false" ht="15" hidden="false" customHeight="false" outlineLevel="0" collapsed="false">
      <c r="A57" s="12"/>
      <c r="B57" s="13"/>
      <c r="C57" s="12"/>
      <c r="D57" s="12"/>
      <c r="E57" s="12"/>
      <c r="F57" s="12"/>
      <c r="G57" s="12"/>
      <c r="H57" s="14"/>
      <c r="I57" s="15"/>
      <c r="J57" s="12"/>
      <c r="K57" s="13"/>
      <c r="L57" s="13"/>
      <c r="M57" s="16" t="str">
        <f aca="false">IF(AND(ISNUMBER(H57),ISNUMBER(I57),I57&gt;0),H57/I57,"")</f>
        <v/>
      </c>
      <c r="N57" s="17" t="str">
        <f aca="false">IF(AND(ISNUMBER(K57),ISNUMBER(L57)),L57-K57,"")</f>
        <v/>
      </c>
      <c r="O57" s="12"/>
    </row>
    <row r="58" customFormat="false" ht="15" hidden="false" customHeight="false" outlineLevel="0" collapsed="false">
      <c r="A58" s="12"/>
      <c r="B58" s="13"/>
      <c r="C58" s="12"/>
      <c r="D58" s="12"/>
      <c r="E58" s="12"/>
      <c r="F58" s="12"/>
      <c r="G58" s="12"/>
      <c r="H58" s="14"/>
      <c r="I58" s="15"/>
      <c r="J58" s="12"/>
      <c r="K58" s="13"/>
      <c r="L58" s="13"/>
      <c r="M58" s="16" t="str">
        <f aca="false">IF(AND(ISNUMBER(H58),ISNUMBER(I58),I58&gt;0),H58/I58,"")</f>
        <v/>
      </c>
      <c r="N58" s="17" t="str">
        <f aca="false">IF(AND(ISNUMBER(K58),ISNUMBER(L58)),L58-K58,"")</f>
        <v/>
      </c>
      <c r="O58" s="12"/>
    </row>
    <row r="59" customFormat="false" ht="15" hidden="false" customHeight="false" outlineLevel="0" collapsed="false">
      <c r="A59" s="12"/>
      <c r="B59" s="13"/>
      <c r="C59" s="12"/>
      <c r="D59" s="12"/>
      <c r="E59" s="12"/>
      <c r="F59" s="12"/>
      <c r="G59" s="12"/>
      <c r="H59" s="14"/>
      <c r="I59" s="15"/>
      <c r="J59" s="12"/>
      <c r="K59" s="13"/>
      <c r="L59" s="13"/>
      <c r="M59" s="16" t="str">
        <f aca="false">IF(AND(ISNUMBER(H59),ISNUMBER(I59),I59&gt;0),H59/I59,"")</f>
        <v/>
      </c>
      <c r="N59" s="17" t="str">
        <f aca="false">IF(AND(ISNUMBER(K59),ISNUMBER(L59)),L59-K59,"")</f>
        <v/>
      </c>
      <c r="O59" s="12"/>
    </row>
    <row r="60" customFormat="false" ht="15" hidden="false" customHeight="false" outlineLevel="0" collapsed="false">
      <c r="A60" s="12"/>
      <c r="B60" s="13"/>
      <c r="C60" s="12"/>
      <c r="D60" s="12"/>
      <c r="E60" s="12"/>
      <c r="F60" s="12"/>
      <c r="G60" s="12"/>
      <c r="H60" s="14"/>
      <c r="I60" s="15"/>
      <c r="J60" s="12"/>
      <c r="K60" s="13"/>
      <c r="L60" s="13"/>
      <c r="M60" s="16" t="str">
        <f aca="false">IF(AND(ISNUMBER(H60),ISNUMBER(I60),I60&gt;0),H60/I60,"")</f>
        <v/>
      </c>
      <c r="N60" s="17" t="str">
        <f aca="false">IF(AND(ISNUMBER(K60),ISNUMBER(L60)),L60-K60,"")</f>
        <v/>
      </c>
      <c r="O60" s="12"/>
    </row>
    <row r="61" customFormat="false" ht="15" hidden="false" customHeight="false" outlineLevel="0" collapsed="false">
      <c r="A61" s="12"/>
      <c r="B61" s="13"/>
      <c r="C61" s="12"/>
      <c r="D61" s="12"/>
      <c r="E61" s="12"/>
      <c r="F61" s="12"/>
      <c r="G61" s="12"/>
      <c r="H61" s="14"/>
      <c r="I61" s="15"/>
      <c r="J61" s="12"/>
      <c r="K61" s="13"/>
      <c r="L61" s="13"/>
      <c r="M61" s="16" t="str">
        <f aca="false">IF(AND(ISNUMBER(H61),ISNUMBER(I61),I61&gt;0),H61/I61,"")</f>
        <v/>
      </c>
      <c r="N61" s="17" t="str">
        <f aca="false">IF(AND(ISNUMBER(K61),ISNUMBER(L61)),L61-K61,"")</f>
        <v/>
      </c>
      <c r="O61" s="12"/>
    </row>
    <row r="62" customFormat="false" ht="15" hidden="false" customHeight="false" outlineLevel="0" collapsed="false">
      <c r="A62" s="12"/>
      <c r="B62" s="13"/>
      <c r="C62" s="12"/>
      <c r="D62" s="12"/>
      <c r="E62" s="12"/>
      <c r="F62" s="12"/>
      <c r="G62" s="12"/>
      <c r="H62" s="14"/>
      <c r="I62" s="15"/>
      <c r="J62" s="12"/>
      <c r="K62" s="13"/>
      <c r="L62" s="13"/>
      <c r="M62" s="16" t="str">
        <f aca="false">IF(AND(ISNUMBER(H62),ISNUMBER(I62),I62&gt;0),H62/I62,"")</f>
        <v/>
      </c>
      <c r="N62" s="17" t="str">
        <f aca="false">IF(AND(ISNUMBER(K62),ISNUMBER(L62)),L62-K62,"")</f>
        <v/>
      </c>
      <c r="O62" s="12"/>
    </row>
    <row r="63" customFormat="false" ht="15" hidden="false" customHeight="false" outlineLevel="0" collapsed="false">
      <c r="A63" s="12"/>
      <c r="B63" s="13"/>
      <c r="C63" s="12"/>
      <c r="D63" s="12"/>
      <c r="E63" s="12"/>
      <c r="F63" s="12"/>
      <c r="G63" s="12"/>
      <c r="H63" s="14"/>
      <c r="I63" s="15"/>
      <c r="J63" s="12"/>
      <c r="K63" s="13"/>
      <c r="L63" s="13"/>
      <c r="M63" s="16" t="str">
        <f aca="false">IF(AND(ISNUMBER(H63),ISNUMBER(I63),I63&gt;0),H63/I63,"")</f>
        <v/>
      </c>
      <c r="N63" s="17" t="str">
        <f aca="false">IF(AND(ISNUMBER(K63),ISNUMBER(L63)),L63-K63,"")</f>
        <v/>
      </c>
      <c r="O63" s="12"/>
    </row>
    <row r="64" customFormat="false" ht="15" hidden="false" customHeight="false" outlineLevel="0" collapsed="false">
      <c r="A64" s="12"/>
      <c r="B64" s="13"/>
      <c r="C64" s="12"/>
      <c r="D64" s="12"/>
      <c r="E64" s="12"/>
      <c r="F64" s="12"/>
      <c r="G64" s="12"/>
      <c r="H64" s="14"/>
      <c r="I64" s="15"/>
      <c r="J64" s="12"/>
      <c r="K64" s="13"/>
      <c r="L64" s="13"/>
      <c r="M64" s="16" t="str">
        <f aca="false">IF(AND(ISNUMBER(H64),ISNUMBER(I64),I64&gt;0),H64/I64,"")</f>
        <v/>
      </c>
      <c r="N64" s="17" t="str">
        <f aca="false">IF(AND(ISNUMBER(K64),ISNUMBER(L64)),L64-K64,"")</f>
        <v/>
      </c>
      <c r="O64" s="12"/>
    </row>
    <row r="65" customFormat="false" ht="15" hidden="false" customHeight="false" outlineLevel="0" collapsed="false">
      <c r="A65" s="12"/>
      <c r="B65" s="13"/>
      <c r="C65" s="12"/>
      <c r="D65" s="12"/>
      <c r="E65" s="12"/>
      <c r="F65" s="12"/>
      <c r="G65" s="12"/>
      <c r="H65" s="14"/>
      <c r="I65" s="15"/>
      <c r="J65" s="12"/>
      <c r="K65" s="13"/>
      <c r="L65" s="13"/>
      <c r="M65" s="16" t="str">
        <f aca="false">IF(AND(ISNUMBER(H65),ISNUMBER(I65),I65&gt;0),H65/I65,"")</f>
        <v/>
      </c>
      <c r="N65" s="17" t="str">
        <f aca="false">IF(AND(ISNUMBER(K65),ISNUMBER(L65)),L65-K65,"")</f>
        <v/>
      </c>
      <c r="O65" s="12"/>
    </row>
    <row r="66" customFormat="false" ht="15" hidden="false" customHeight="false" outlineLevel="0" collapsed="false">
      <c r="A66" s="12"/>
      <c r="B66" s="13"/>
      <c r="C66" s="12"/>
      <c r="D66" s="12"/>
      <c r="E66" s="12"/>
      <c r="F66" s="12"/>
      <c r="G66" s="12"/>
      <c r="H66" s="14"/>
      <c r="I66" s="15"/>
      <c r="J66" s="12"/>
      <c r="K66" s="13"/>
      <c r="L66" s="13"/>
      <c r="M66" s="16" t="str">
        <f aca="false">IF(AND(ISNUMBER(H66),ISNUMBER(I66),I66&gt;0),H66/I66,"")</f>
        <v/>
      </c>
      <c r="N66" s="17" t="str">
        <f aca="false">IF(AND(ISNUMBER(K66),ISNUMBER(L66)),L66-K66,"")</f>
        <v/>
      </c>
      <c r="O66" s="12"/>
    </row>
    <row r="67" customFormat="false" ht="15" hidden="false" customHeight="false" outlineLevel="0" collapsed="false">
      <c r="A67" s="12"/>
      <c r="B67" s="13"/>
      <c r="C67" s="12"/>
      <c r="D67" s="12"/>
      <c r="E67" s="12"/>
      <c r="F67" s="12"/>
      <c r="G67" s="12"/>
      <c r="H67" s="14"/>
      <c r="I67" s="15"/>
      <c r="J67" s="12"/>
      <c r="K67" s="13"/>
      <c r="L67" s="13"/>
      <c r="M67" s="16" t="str">
        <f aca="false">IF(AND(ISNUMBER(H67),ISNUMBER(I67),I67&gt;0),H67/I67,"")</f>
        <v/>
      </c>
      <c r="N67" s="17" t="str">
        <f aca="false">IF(AND(ISNUMBER(K67),ISNUMBER(L67)),L67-K67,"")</f>
        <v/>
      </c>
      <c r="O67" s="12"/>
    </row>
    <row r="68" customFormat="false" ht="15" hidden="false" customHeight="false" outlineLevel="0" collapsed="false">
      <c r="A68" s="12"/>
      <c r="B68" s="13"/>
      <c r="C68" s="12"/>
      <c r="D68" s="12"/>
      <c r="E68" s="12"/>
      <c r="F68" s="12"/>
      <c r="G68" s="12"/>
      <c r="H68" s="14"/>
      <c r="I68" s="15"/>
      <c r="J68" s="12"/>
      <c r="K68" s="13"/>
      <c r="L68" s="13"/>
      <c r="M68" s="16" t="str">
        <f aca="false">IF(AND(ISNUMBER(H68),ISNUMBER(I68),I68&gt;0),H68/I68,"")</f>
        <v/>
      </c>
      <c r="N68" s="17" t="str">
        <f aca="false">IF(AND(ISNUMBER(K68),ISNUMBER(L68)),L68-K68,"")</f>
        <v/>
      </c>
      <c r="O68" s="12"/>
    </row>
    <row r="69" customFormat="false" ht="15" hidden="false" customHeight="false" outlineLevel="0" collapsed="false">
      <c r="A69" s="12"/>
      <c r="B69" s="13"/>
      <c r="C69" s="12"/>
      <c r="D69" s="12"/>
      <c r="E69" s="12"/>
      <c r="F69" s="12"/>
      <c r="G69" s="12"/>
      <c r="H69" s="14"/>
      <c r="I69" s="15"/>
      <c r="J69" s="12"/>
      <c r="K69" s="13"/>
      <c r="L69" s="13"/>
      <c r="M69" s="16" t="str">
        <f aca="false">IF(AND(ISNUMBER(H69),ISNUMBER(I69),I69&gt;0),H69/I69,"")</f>
        <v/>
      </c>
      <c r="N69" s="17" t="str">
        <f aca="false">IF(AND(ISNUMBER(K69),ISNUMBER(L69)),L69-K69,"")</f>
        <v/>
      </c>
      <c r="O69" s="12"/>
    </row>
    <row r="70" customFormat="false" ht="15" hidden="false" customHeight="false" outlineLevel="0" collapsed="false">
      <c r="A70" s="12"/>
      <c r="B70" s="13"/>
      <c r="C70" s="12"/>
      <c r="D70" s="12"/>
      <c r="E70" s="12"/>
      <c r="F70" s="12"/>
      <c r="G70" s="12"/>
      <c r="H70" s="14"/>
      <c r="I70" s="15"/>
      <c r="J70" s="12"/>
      <c r="K70" s="13"/>
      <c r="L70" s="13"/>
      <c r="M70" s="16" t="str">
        <f aca="false">IF(AND(ISNUMBER(H70),ISNUMBER(I70),I70&gt;0),H70/I70,"")</f>
        <v/>
      </c>
      <c r="N70" s="17" t="str">
        <f aca="false">IF(AND(ISNUMBER(K70),ISNUMBER(L70)),L70-K70,"")</f>
        <v/>
      </c>
      <c r="O70" s="12"/>
    </row>
    <row r="71" customFormat="false" ht="15" hidden="false" customHeight="false" outlineLevel="0" collapsed="false">
      <c r="A71" s="12"/>
      <c r="B71" s="13"/>
      <c r="C71" s="12"/>
      <c r="D71" s="12"/>
      <c r="E71" s="12"/>
      <c r="F71" s="12"/>
      <c r="G71" s="12"/>
      <c r="H71" s="14"/>
      <c r="I71" s="15"/>
      <c r="J71" s="12"/>
      <c r="K71" s="13"/>
      <c r="L71" s="13"/>
      <c r="M71" s="16" t="str">
        <f aca="false">IF(AND(ISNUMBER(H71),ISNUMBER(I71),I71&gt;0),H71/I71,"")</f>
        <v/>
      </c>
      <c r="N71" s="17" t="str">
        <f aca="false">IF(AND(ISNUMBER(K71),ISNUMBER(L71)),L71-K71,"")</f>
        <v/>
      </c>
      <c r="O71" s="12"/>
    </row>
    <row r="72" customFormat="false" ht="15" hidden="false" customHeight="false" outlineLevel="0" collapsed="false">
      <c r="A72" s="12"/>
      <c r="B72" s="13"/>
      <c r="C72" s="12"/>
      <c r="D72" s="12"/>
      <c r="E72" s="12"/>
      <c r="F72" s="12"/>
      <c r="G72" s="12"/>
      <c r="H72" s="14"/>
      <c r="I72" s="15"/>
      <c r="J72" s="12"/>
      <c r="K72" s="13"/>
      <c r="L72" s="13"/>
      <c r="M72" s="16" t="str">
        <f aca="false">IF(AND(ISNUMBER(H72),ISNUMBER(I72),I72&gt;0),H72/I72,"")</f>
        <v/>
      </c>
      <c r="N72" s="17" t="str">
        <f aca="false">IF(AND(ISNUMBER(K72),ISNUMBER(L72)),L72-K72,"")</f>
        <v/>
      </c>
      <c r="O72" s="12"/>
    </row>
    <row r="73" customFormat="false" ht="15" hidden="false" customHeight="false" outlineLevel="0" collapsed="false">
      <c r="A73" s="12"/>
      <c r="B73" s="13"/>
      <c r="C73" s="12"/>
      <c r="D73" s="12"/>
      <c r="E73" s="12"/>
      <c r="F73" s="12"/>
      <c r="G73" s="12"/>
      <c r="H73" s="14"/>
      <c r="I73" s="15"/>
      <c r="J73" s="12"/>
      <c r="K73" s="13"/>
      <c r="L73" s="13"/>
      <c r="M73" s="16" t="str">
        <f aca="false">IF(AND(ISNUMBER(H73),ISNUMBER(I73),I73&gt;0),H73/I73,"")</f>
        <v/>
      </c>
      <c r="N73" s="17" t="str">
        <f aca="false">IF(AND(ISNUMBER(K73),ISNUMBER(L73)),L73-K73,"")</f>
        <v/>
      </c>
      <c r="O73" s="12"/>
    </row>
    <row r="74" customFormat="false" ht="15" hidden="false" customHeight="false" outlineLevel="0" collapsed="false">
      <c r="A74" s="12"/>
      <c r="B74" s="13"/>
      <c r="C74" s="12"/>
      <c r="D74" s="12"/>
      <c r="E74" s="12"/>
      <c r="F74" s="12"/>
      <c r="G74" s="12"/>
      <c r="H74" s="14"/>
      <c r="I74" s="15"/>
      <c r="J74" s="12"/>
      <c r="K74" s="13"/>
      <c r="L74" s="13"/>
      <c r="M74" s="16" t="str">
        <f aca="false">IF(AND(ISNUMBER(H74),ISNUMBER(I74),I74&gt;0),H74/I74,"")</f>
        <v/>
      </c>
      <c r="N74" s="17" t="str">
        <f aca="false">IF(AND(ISNUMBER(K74),ISNUMBER(L74)),L74-K74,"")</f>
        <v/>
      </c>
      <c r="O74" s="12"/>
    </row>
    <row r="75" customFormat="false" ht="15" hidden="false" customHeight="false" outlineLevel="0" collapsed="false">
      <c r="A75" s="12"/>
      <c r="B75" s="13"/>
      <c r="C75" s="12"/>
      <c r="D75" s="12"/>
      <c r="E75" s="12"/>
      <c r="F75" s="12"/>
      <c r="G75" s="12"/>
      <c r="H75" s="14"/>
      <c r="I75" s="15"/>
      <c r="J75" s="12"/>
      <c r="K75" s="13"/>
      <c r="L75" s="13"/>
      <c r="M75" s="16" t="str">
        <f aca="false">IF(AND(ISNUMBER(H75),ISNUMBER(I75),I75&gt;0),H75/I75,"")</f>
        <v/>
      </c>
      <c r="N75" s="17" t="str">
        <f aca="false">IF(AND(ISNUMBER(K75),ISNUMBER(L75)),L75-K75,"")</f>
        <v/>
      </c>
      <c r="O75" s="12"/>
    </row>
    <row r="76" customFormat="false" ht="15" hidden="false" customHeight="false" outlineLevel="0" collapsed="false">
      <c r="A76" s="12"/>
      <c r="B76" s="13"/>
      <c r="C76" s="12"/>
      <c r="D76" s="12"/>
      <c r="E76" s="12"/>
      <c r="F76" s="12"/>
      <c r="G76" s="12"/>
      <c r="H76" s="14"/>
      <c r="I76" s="15"/>
      <c r="J76" s="12"/>
      <c r="K76" s="13"/>
      <c r="L76" s="13"/>
      <c r="M76" s="16" t="str">
        <f aca="false">IF(AND(ISNUMBER(H76),ISNUMBER(I76),I76&gt;0),H76/I76,"")</f>
        <v/>
      </c>
      <c r="N76" s="17" t="str">
        <f aca="false">IF(AND(ISNUMBER(K76),ISNUMBER(L76)),L76-K76,"")</f>
        <v/>
      </c>
      <c r="O76" s="12"/>
    </row>
    <row r="77" customFormat="false" ht="15" hidden="false" customHeight="false" outlineLevel="0" collapsed="false">
      <c r="A77" s="12"/>
      <c r="B77" s="13"/>
      <c r="C77" s="12"/>
      <c r="D77" s="12"/>
      <c r="E77" s="12"/>
      <c r="F77" s="12"/>
      <c r="G77" s="12"/>
      <c r="H77" s="14"/>
      <c r="I77" s="15"/>
      <c r="J77" s="12"/>
      <c r="K77" s="13"/>
      <c r="L77" s="13"/>
      <c r="M77" s="16" t="str">
        <f aca="false">IF(AND(ISNUMBER(H77),ISNUMBER(I77),I77&gt;0),H77/I77,"")</f>
        <v/>
      </c>
      <c r="N77" s="17" t="str">
        <f aca="false">IF(AND(ISNUMBER(K77),ISNUMBER(L77)),L77-K77,"")</f>
        <v/>
      </c>
      <c r="O77" s="12"/>
    </row>
    <row r="78" customFormat="false" ht="15" hidden="false" customHeight="false" outlineLevel="0" collapsed="false">
      <c r="A78" s="12"/>
      <c r="B78" s="13"/>
      <c r="C78" s="12"/>
      <c r="D78" s="12"/>
      <c r="E78" s="12"/>
      <c r="F78" s="12"/>
      <c r="G78" s="12"/>
      <c r="H78" s="14"/>
      <c r="I78" s="15"/>
      <c r="J78" s="12"/>
      <c r="K78" s="13"/>
      <c r="L78" s="13"/>
      <c r="M78" s="16" t="str">
        <f aca="false">IF(AND(ISNUMBER(H78),ISNUMBER(I78),I78&gt;0),H78/I78,"")</f>
        <v/>
      </c>
      <c r="N78" s="17" t="str">
        <f aca="false">IF(AND(ISNUMBER(K78),ISNUMBER(L78)),L78-K78,"")</f>
        <v/>
      </c>
      <c r="O78" s="12"/>
    </row>
    <row r="79" customFormat="false" ht="15" hidden="false" customHeight="false" outlineLevel="0" collapsed="false">
      <c r="A79" s="12"/>
      <c r="B79" s="13"/>
      <c r="C79" s="12"/>
      <c r="D79" s="12"/>
      <c r="E79" s="12"/>
      <c r="F79" s="12"/>
      <c r="G79" s="12"/>
      <c r="H79" s="14"/>
      <c r="I79" s="15"/>
      <c r="J79" s="12"/>
      <c r="K79" s="13"/>
      <c r="L79" s="13"/>
      <c r="M79" s="16" t="str">
        <f aca="false">IF(AND(ISNUMBER(H79),ISNUMBER(I79),I79&gt;0),H79/I79,"")</f>
        <v/>
      </c>
      <c r="N79" s="17" t="str">
        <f aca="false">IF(AND(ISNUMBER(K79),ISNUMBER(L79)),L79-K79,"")</f>
        <v/>
      </c>
      <c r="O79" s="12"/>
    </row>
    <row r="80" customFormat="false" ht="15" hidden="false" customHeight="false" outlineLevel="0" collapsed="false">
      <c r="A80" s="12"/>
      <c r="B80" s="13"/>
      <c r="C80" s="12"/>
      <c r="D80" s="12"/>
      <c r="E80" s="12"/>
      <c r="F80" s="12"/>
      <c r="G80" s="12"/>
      <c r="H80" s="14"/>
      <c r="I80" s="15"/>
      <c r="J80" s="12"/>
      <c r="K80" s="13"/>
      <c r="L80" s="13"/>
      <c r="M80" s="16" t="str">
        <f aca="false">IF(AND(ISNUMBER(H80),ISNUMBER(I80),I80&gt;0),H80/I80,"")</f>
        <v/>
      </c>
      <c r="N80" s="17" t="str">
        <f aca="false">IF(AND(ISNUMBER(K80),ISNUMBER(L80)),L80-K80,"")</f>
        <v/>
      </c>
      <c r="O80" s="12"/>
    </row>
    <row r="81" customFormat="false" ht="15" hidden="false" customHeight="false" outlineLevel="0" collapsed="false">
      <c r="A81" s="12"/>
      <c r="B81" s="13"/>
      <c r="C81" s="12"/>
      <c r="D81" s="12"/>
      <c r="E81" s="12"/>
      <c r="F81" s="12"/>
      <c r="G81" s="12"/>
      <c r="H81" s="14"/>
      <c r="I81" s="15"/>
      <c r="J81" s="12"/>
      <c r="K81" s="13"/>
      <c r="L81" s="13"/>
      <c r="M81" s="16" t="str">
        <f aca="false">IF(AND(ISNUMBER(H81),ISNUMBER(I81),I81&gt;0),H81/I81,"")</f>
        <v/>
      </c>
      <c r="N81" s="17" t="str">
        <f aca="false">IF(AND(ISNUMBER(K81),ISNUMBER(L81)),L81-K81,"")</f>
        <v/>
      </c>
      <c r="O81" s="12"/>
    </row>
    <row r="82" customFormat="false" ht="15" hidden="false" customHeight="false" outlineLevel="0" collapsed="false">
      <c r="A82" s="12"/>
      <c r="B82" s="13"/>
      <c r="C82" s="12"/>
      <c r="D82" s="12"/>
      <c r="E82" s="12"/>
      <c r="F82" s="12"/>
      <c r="G82" s="12"/>
      <c r="H82" s="14"/>
      <c r="I82" s="15"/>
      <c r="J82" s="12"/>
      <c r="K82" s="13"/>
      <c r="L82" s="13"/>
      <c r="M82" s="16" t="str">
        <f aca="false">IF(AND(ISNUMBER(H82),ISNUMBER(I82),I82&gt;0),H82/I82,"")</f>
        <v/>
      </c>
      <c r="N82" s="17" t="str">
        <f aca="false">IF(AND(ISNUMBER(K82),ISNUMBER(L82)),L82-K82,"")</f>
        <v/>
      </c>
      <c r="O82" s="12"/>
    </row>
    <row r="83" customFormat="false" ht="15" hidden="false" customHeight="false" outlineLevel="0" collapsed="false">
      <c r="A83" s="12"/>
      <c r="B83" s="13"/>
      <c r="C83" s="12"/>
      <c r="D83" s="12"/>
      <c r="E83" s="12"/>
      <c r="F83" s="12"/>
      <c r="G83" s="12"/>
      <c r="H83" s="14"/>
      <c r="I83" s="15"/>
      <c r="J83" s="12"/>
      <c r="K83" s="13"/>
      <c r="L83" s="13"/>
      <c r="M83" s="16" t="str">
        <f aca="false">IF(AND(ISNUMBER(H83),ISNUMBER(I83),I83&gt;0),H83/I83,"")</f>
        <v/>
      </c>
      <c r="N83" s="17" t="str">
        <f aca="false">IF(AND(ISNUMBER(K83),ISNUMBER(L83)),L83-K83,"")</f>
        <v/>
      </c>
      <c r="O83" s="12"/>
    </row>
    <row r="84" customFormat="false" ht="15" hidden="false" customHeight="false" outlineLevel="0" collapsed="false">
      <c r="A84" s="12"/>
      <c r="B84" s="13"/>
      <c r="C84" s="12"/>
      <c r="D84" s="12"/>
      <c r="E84" s="12"/>
      <c r="F84" s="12"/>
      <c r="G84" s="12"/>
      <c r="H84" s="14"/>
      <c r="I84" s="15"/>
      <c r="J84" s="12"/>
      <c r="K84" s="13"/>
      <c r="L84" s="13"/>
      <c r="M84" s="16" t="str">
        <f aca="false">IF(AND(ISNUMBER(H84),ISNUMBER(I84),I84&gt;0),H84/I84,"")</f>
        <v/>
      </c>
      <c r="N84" s="17" t="str">
        <f aca="false">IF(AND(ISNUMBER(K84),ISNUMBER(L84)),L84-K84,"")</f>
        <v/>
      </c>
      <c r="O84" s="12"/>
    </row>
    <row r="85" customFormat="false" ht="15" hidden="false" customHeight="false" outlineLevel="0" collapsed="false">
      <c r="A85" s="12"/>
      <c r="B85" s="13"/>
      <c r="C85" s="12"/>
      <c r="D85" s="12"/>
      <c r="E85" s="12"/>
      <c r="F85" s="12"/>
      <c r="G85" s="12"/>
      <c r="H85" s="14"/>
      <c r="I85" s="15"/>
      <c r="J85" s="12"/>
      <c r="K85" s="13"/>
      <c r="L85" s="13"/>
      <c r="M85" s="16" t="str">
        <f aca="false">IF(AND(ISNUMBER(H85),ISNUMBER(I85),I85&gt;0),H85/I85,"")</f>
        <v/>
      </c>
      <c r="N85" s="17" t="str">
        <f aca="false">IF(AND(ISNUMBER(K85),ISNUMBER(L85)),L85-K85,"")</f>
        <v/>
      </c>
      <c r="O85" s="12"/>
    </row>
    <row r="86" customFormat="false" ht="15" hidden="false" customHeight="false" outlineLevel="0" collapsed="false">
      <c r="A86" s="12"/>
      <c r="B86" s="13"/>
      <c r="C86" s="12"/>
      <c r="D86" s="12"/>
      <c r="E86" s="12"/>
      <c r="F86" s="12"/>
      <c r="G86" s="12"/>
      <c r="H86" s="14"/>
      <c r="I86" s="15"/>
      <c r="J86" s="12"/>
      <c r="K86" s="13"/>
      <c r="L86" s="13"/>
      <c r="M86" s="16" t="str">
        <f aca="false">IF(AND(ISNUMBER(H86),ISNUMBER(I86),I86&gt;0),H86/I86,"")</f>
        <v/>
      </c>
      <c r="N86" s="17" t="str">
        <f aca="false">IF(AND(ISNUMBER(K86),ISNUMBER(L86)),L86-K86,"")</f>
        <v/>
      </c>
      <c r="O86" s="12"/>
    </row>
    <row r="87" customFormat="false" ht="15" hidden="false" customHeight="false" outlineLevel="0" collapsed="false">
      <c r="A87" s="12"/>
      <c r="B87" s="13"/>
      <c r="C87" s="12"/>
      <c r="D87" s="12"/>
      <c r="E87" s="12"/>
      <c r="F87" s="12"/>
      <c r="G87" s="12"/>
      <c r="H87" s="14"/>
      <c r="I87" s="15"/>
      <c r="J87" s="12"/>
      <c r="K87" s="13"/>
      <c r="L87" s="13"/>
      <c r="M87" s="16" t="str">
        <f aca="false">IF(AND(ISNUMBER(H87),ISNUMBER(I87),I87&gt;0),H87/I87,"")</f>
        <v/>
      </c>
      <c r="N87" s="17" t="str">
        <f aca="false">IF(AND(ISNUMBER(K87),ISNUMBER(L87)),L87-K87,"")</f>
        <v/>
      </c>
      <c r="O87" s="12"/>
    </row>
    <row r="88" customFormat="false" ht="15" hidden="false" customHeight="false" outlineLevel="0" collapsed="false">
      <c r="A88" s="12"/>
      <c r="B88" s="13"/>
      <c r="C88" s="12"/>
      <c r="D88" s="12"/>
      <c r="E88" s="12"/>
      <c r="F88" s="12"/>
      <c r="G88" s="12"/>
      <c r="H88" s="14"/>
      <c r="I88" s="15"/>
      <c r="J88" s="12"/>
      <c r="K88" s="13"/>
      <c r="L88" s="13"/>
      <c r="M88" s="16" t="str">
        <f aca="false">IF(AND(ISNUMBER(H88),ISNUMBER(I88),I88&gt;0),H88/I88,"")</f>
        <v/>
      </c>
      <c r="N88" s="17" t="str">
        <f aca="false">IF(AND(ISNUMBER(K88),ISNUMBER(L88)),L88-K88,"")</f>
        <v/>
      </c>
      <c r="O88" s="12"/>
    </row>
    <row r="89" customFormat="false" ht="15" hidden="false" customHeight="false" outlineLevel="0" collapsed="false">
      <c r="A89" s="12"/>
      <c r="B89" s="13"/>
      <c r="C89" s="12"/>
      <c r="D89" s="12"/>
      <c r="E89" s="12"/>
      <c r="F89" s="12"/>
      <c r="G89" s="12"/>
      <c r="H89" s="14"/>
      <c r="I89" s="15"/>
      <c r="J89" s="12"/>
      <c r="K89" s="13"/>
      <c r="L89" s="13"/>
      <c r="M89" s="16" t="str">
        <f aca="false">IF(AND(ISNUMBER(H89),ISNUMBER(I89),I89&gt;0),H89/I89,"")</f>
        <v/>
      </c>
      <c r="N89" s="17" t="str">
        <f aca="false">IF(AND(ISNUMBER(K89),ISNUMBER(L89)),L89-K89,"")</f>
        <v/>
      </c>
      <c r="O89" s="12"/>
    </row>
    <row r="90" customFormat="false" ht="15" hidden="false" customHeight="false" outlineLevel="0" collapsed="false">
      <c r="A90" s="12"/>
      <c r="B90" s="13"/>
      <c r="C90" s="12"/>
      <c r="D90" s="12"/>
      <c r="E90" s="12"/>
      <c r="F90" s="12"/>
      <c r="G90" s="12"/>
      <c r="H90" s="14"/>
      <c r="I90" s="15"/>
      <c r="J90" s="12"/>
      <c r="K90" s="13"/>
      <c r="L90" s="13"/>
      <c r="M90" s="16" t="str">
        <f aca="false">IF(AND(ISNUMBER(H90),ISNUMBER(I90),I90&gt;0),H90/I90,"")</f>
        <v/>
      </c>
      <c r="N90" s="17" t="str">
        <f aca="false">IF(AND(ISNUMBER(K90),ISNUMBER(L90)),L90-K90,"")</f>
        <v/>
      </c>
      <c r="O90" s="12"/>
    </row>
    <row r="91" customFormat="false" ht="15" hidden="false" customHeight="false" outlineLevel="0" collapsed="false">
      <c r="A91" s="12"/>
      <c r="B91" s="13"/>
      <c r="C91" s="12"/>
      <c r="D91" s="12"/>
      <c r="E91" s="12"/>
      <c r="F91" s="12"/>
      <c r="G91" s="12"/>
      <c r="H91" s="14"/>
      <c r="I91" s="15"/>
      <c r="J91" s="12"/>
      <c r="K91" s="13"/>
      <c r="L91" s="13"/>
      <c r="M91" s="16" t="str">
        <f aca="false">IF(AND(ISNUMBER(H91),ISNUMBER(I91),I91&gt;0),H91/I91,"")</f>
        <v/>
      </c>
      <c r="N91" s="17" t="str">
        <f aca="false">IF(AND(ISNUMBER(K91),ISNUMBER(L91)),L91-K91,"")</f>
        <v/>
      </c>
      <c r="O91" s="12"/>
    </row>
    <row r="92" customFormat="false" ht="15" hidden="false" customHeight="false" outlineLevel="0" collapsed="false">
      <c r="A92" s="12"/>
      <c r="B92" s="13"/>
      <c r="C92" s="12"/>
      <c r="D92" s="12"/>
      <c r="E92" s="12"/>
      <c r="F92" s="12"/>
      <c r="G92" s="12"/>
      <c r="H92" s="14"/>
      <c r="I92" s="15"/>
      <c r="J92" s="12"/>
      <c r="K92" s="13"/>
      <c r="L92" s="13"/>
      <c r="M92" s="16" t="str">
        <f aca="false">IF(AND(ISNUMBER(H92),ISNUMBER(I92),I92&gt;0),H92/I92,"")</f>
        <v/>
      </c>
      <c r="N92" s="17" t="str">
        <f aca="false">IF(AND(ISNUMBER(K92),ISNUMBER(L92)),L92-K92,"")</f>
        <v/>
      </c>
      <c r="O92" s="12"/>
    </row>
    <row r="93" customFormat="false" ht="15" hidden="false" customHeight="false" outlineLevel="0" collapsed="false">
      <c r="A93" s="12"/>
      <c r="B93" s="13"/>
      <c r="C93" s="12"/>
      <c r="D93" s="12"/>
      <c r="E93" s="12"/>
      <c r="F93" s="12"/>
      <c r="G93" s="12"/>
      <c r="H93" s="14"/>
      <c r="I93" s="15"/>
      <c r="J93" s="12"/>
      <c r="K93" s="13"/>
      <c r="L93" s="13"/>
      <c r="M93" s="16" t="str">
        <f aca="false">IF(AND(ISNUMBER(H93),ISNUMBER(I93),I93&gt;0),H93/I93,"")</f>
        <v/>
      </c>
      <c r="N93" s="17" t="str">
        <f aca="false">IF(AND(ISNUMBER(K93),ISNUMBER(L93)),L93-K93,"")</f>
        <v/>
      </c>
      <c r="O93" s="12"/>
    </row>
    <row r="94" customFormat="false" ht="15" hidden="false" customHeight="false" outlineLevel="0" collapsed="false">
      <c r="A94" s="12"/>
      <c r="B94" s="13"/>
      <c r="C94" s="12"/>
      <c r="D94" s="12"/>
      <c r="E94" s="12"/>
      <c r="F94" s="12"/>
      <c r="G94" s="12"/>
      <c r="H94" s="14"/>
      <c r="I94" s="15"/>
      <c r="J94" s="12"/>
      <c r="K94" s="13"/>
      <c r="L94" s="13"/>
      <c r="M94" s="16" t="str">
        <f aca="false">IF(AND(ISNUMBER(H94),ISNUMBER(I94),I94&gt;0),H94/I94,"")</f>
        <v/>
      </c>
      <c r="N94" s="17" t="str">
        <f aca="false">IF(AND(ISNUMBER(K94),ISNUMBER(L94)),L94-K94,"")</f>
        <v/>
      </c>
      <c r="O94" s="12"/>
    </row>
    <row r="95" customFormat="false" ht="15" hidden="false" customHeight="false" outlineLevel="0" collapsed="false">
      <c r="A95" s="12"/>
      <c r="B95" s="13"/>
      <c r="C95" s="12"/>
      <c r="D95" s="12"/>
      <c r="E95" s="12"/>
      <c r="F95" s="12"/>
      <c r="G95" s="12"/>
      <c r="H95" s="14"/>
      <c r="I95" s="15"/>
      <c r="J95" s="12"/>
      <c r="K95" s="13"/>
      <c r="L95" s="13"/>
      <c r="M95" s="16" t="str">
        <f aca="false">IF(AND(ISNUMBER(H95),ISNUMBER(I95),I95&gt;0),H95/I95,"")</f>
        <v/>
      </c>
      <c r="N95" s="17" t="str">
        <f aca="false">IF(AND(ISNUMBER(K95),ISNUMBER(L95)),L95-K95,"")</f>
        <v/>
      </c>
      <c r="O95" s="12"/>
    </row>
    <row r="96" customFormat="false" ht="15" hidden="false" customHeight="false" outlineLevel="0" collapsed="false">
      <c r="A96" s="12"/>
      <c r="B96" s="13"/>
      <c r="C96" s="12"/>
      <c r="D96" s="12"/>
      <c r="E96" s="12"/>
      <c r="F96" s="12"/>
      <c r="G96" s="12"/>
      <c r="H96" s="14"/>
      <c r="I96" s="15"/>
      <c r="J96" s="12"/>
      <c r="K96" s="13"/>
      <c r="L96" s="13"/>
      <c r="M96" s="16" t="str">
        <f aca="false">IF(AND(ISNUMBER(H96),ISNUMBER(I96),I96&gt;0),H96/I96,"")</f>
        <v/>
      </c>
      <c r="N96" s="17" t="str">
        <f aca="false">IF(AND(ISNUMBER(K96),ISNUMBER(L96)),L96-K96,"")</f>
        <v/>
      </c>
      <c r="O96" s="12"/>
    </row>
    <row r="97" customFormat="false" ht="15" hidden="false" customHeight="false" outlineLevel="0" collapsed="false">
      <c r="A97" s="12"/>
      <c r="B97" s="13"/>
      <c r="C97" s="12"/>
      <c r="D97" s="12"/>
      <c r="E97" s="12"/>
      <c r="F97" s="12"/>
      <c r="G97" s="12"/>
      <c r="H97" s="14"/>
      <c r="I97" s="15"/>
      <c r="J97" s="12"/>
      <c r="K97" s="13"/>
      <c r="L97" s="13"/>
      <c r="M97" s="16" t="str">
        <f aca="false">IF(AND(ISNUMBER(H97),ISNUMBER(I97),I97&gt;0),H97/I97,"")</f>
        <v/>
      </c>
      <c r="N97" s="17" t="str">
        <f aca="false">IF(AND(ISNUMBER(K97),ISNUMBER(L97)),L97-K97,"")</f>
        <v/>
      </c>
      <c r="O97" s="12"/>
    </row>
    <row r="98" customFormat="false" ht="15" hidden="false" customHeight="false" outlineLevel="0" collapsed="false">
      <c r="A98" s="12"/>
      <c r="B98" s="13"/>
      <c r="C98" s="12"/>
      <c r="D98" s="12"/>
      <c r="E98" s="12"/>
      <c r="F98" s="12"/>
      <c r="G98" s="12"/>
      <c r="H98" s="14"/>
      <c r="I98" s="15"/>
      <c r="J98" s="12"/>
      <c r="K98" s="13"/>
      <c r="L98" s="13"/>
      <c r="M98" s="16" t="str">
        <f aca="false">IF(AND(ISNUMBER(H98),ISNUMBER(I98),I98&gt;0),H98/I98,"")</f>
        <v/>
      </c>
      <c r="N98" s="17" t="str">
        <f aca="false">IF(AND(ISNUMBER(K98),ISNUMBER(L98)),L98-K98,"")</f>
        <v/>
      </c>
      <c r="O98" s="12"/>
    </row>
    <row r="99" customFormat="false" ht="15" hidden="false" customHeight="false" outlineLevel="0" collapsed="false">
      <c r="A99" s="12"/>
      <c r="B99" s="13"/>
      <c r="C99" s="12"/>
      <c r="D99" s="12"/>
      <c r="E99" s="12"/>
      <c r="F99" s="12"/>
      <c r="G99" s="12"/>
      <c r="H99" s="14"/>
      <c r="I99" s="15"/>
      <c r="J99" s="12"/>
      <c r="K99" s="13"/>
      <c r="L99" s="13"/>
      <c r="M99" s="16" t="str">
        <f aca="false">IF(AND(ISNUMBER(H99),ISNUMBER(I99),I99&gt;0),H99/I99,"")</f>
        <v/>
      </c>
      <c r="N99" s="17" t="str">
        <f aca="false">IF(AND(ISNUMBER(K99),ISNUMBER(L99)),L99-K99,"")</f>
        <v/>
      </c>
      <c r="O99" s="12"/>
    </row>
    <row r="100" customFormat="false" ht="15" hidden="false" customHeight="false" outlineLevel="0" collapsed="false">
      <c r="A100" s="12"/>
      <c r="B100" s="13"/>
      <c r="C100" s="12"/>
      <c r="D100" s="12"/>
      <c r="E100" s="12"/>
      <c r="F100" s="12"/>
      <c r="G100" s="12"/>
      <c r="H100" s="14"/>
      <c r="I100" s="15"/>
      <c r="J100" s="12"/>
      <c r="K100" s="13"/>
      <c r="L100" s="13"/>
      <c r="M100" s="16" t="str">
        <f aca="false">IF(AND(ISNUMBER(H100),ISNUMBER(I100),I100&gt;0),H100/I100,"")</f>
        <v/>
      </c>
      <c r="N100" s="17" t="str">
        <f aca="false">IF(AND(ISNUMBER(K100),ISNUMBER(L100)),L100-K100,"")</f>
        <v/>
      </c>
      <c r="O100" s="12"/>
    </row>
    <row r="101" customFormat="false" ht="15" hidden="false" customHeight="false" outlineLevel="0" collapsed="false">
      <c r="A101" s="12"/>
      <c r="B101" s="13"/>
      <c r="C101" s="12"/>
      <c r="D101" s="12"/>
      <c r="E101" s="12"/>
      <c r="F101" s="12"/>
      <c r="G101" s="12"/>
      <c r="H101" s="14"/>
      <c r="I101" s="15"/>
      <c r="J101" s="12"/>
      <c r="K101" s="13"/>
      <c r="L101" s="13"/>
      <c r="M101" s="16" t="str">
        <f aca="false">IF(AND(ISNUMBER(H101),ISNUMBER(I101),I101&gt;0),H101/I101,"")</f>
        <v/>
      </c>
      <c r="N101" s="17" t="str">
        <f aca="false">IF(AND(ISNUMBER(K101),ISNUMBER(L101)),L101-K101,"")</f>
        <v/>
      </c>
      <c r="O101" s="12"/>
    </row>
    <row r="102" customFormat="false" ht="15" hidden="false" customHeight="false" outlineLevel="0" collapsed="false">
      <c r="A102" s="12"/>
      <c r="B102" s="13"/>
      <c r="C102" s="12"/>
      <c r="D102" s="12"/>
      <c r="E102" s="12"/>
      <c r="F102" s="12"/>
      <c r="G102" s="12"/>
      <c r="H102" s="14"/>
      <c r="I102" s="15"/>
      <c r="J102" s="12"/>
      <c r="K102" s="13"/>
      <c r="L102" s="13"/>
      <c r="M102" s="16" t="str">
        <f aca="false">IF(AND(ISNUMBER(H102),ISNUMBER(I102),I102&gt;0),H102/I102,"")</f>
        <v/>
      </c>
      <c r="N102" s="17" t="str">
        <f aca="false">IF(AND(ISNUMBER(K102),ISNUMBER(L102)),L102-K102,"")</f>
        <v/>
      </c>
      <c r="O102" s="12"/>
    </row>
    <row r="103" customFormat="false" ht="15" hidden="false" customHeight="false" outlineLevel="0" collapsed="false">
      <c r="A103" s="12"/>
      <c r="B103" s="13"/>
      <c r="C103" s="12"/>
      <c r="D103" s="12"/>
      <c r="E103" s="12"/>
      <c r="F103" s="12"/>
      <c r="G103" s="12"/>
      <c r="H103" s="14"/>
      <c r="I103" s="15"/>
      <c r="J103" s="12"/>
      <c r="K103" s="13"/>
      <c r="L103" s="13"/>
      <c r="M103" s="16" t="str">
        <f aca="false">IF(AND(ISNUMBER(H103),ISNUMBER(I103),I103&gt;0),H103/I103,"")</f>
        <v/>
      </c>
      <c r="N103" s="17" t="str">
        <f aca="false">IF(AND(ISNUMBER(K103),ISNUMBER(L103)),L103-K103,"")</f>
        <v/>
      </c>
      <c r="O103" s="12"/>
    </row>
    <row r="104" customFormat="false" ht="15" hidden="false" customHeight="false" outlineLevel="0" collapsed="false">
      <c r="A104" s="12"/>
      <c r="B104" s="13"/>
      <c r="C104" s="12"/>
      <c r="D104" s="12"/>
      <c r="E104" s="12"/>
      <c r="F104" s="12"/>
      <c r="G104" s="12"/>
      <c r="H104" s="14"/>
      <c r="I104" s="15"/>
      <c r="J104" s="12"/>
      <c r="K104" s="13"/>
      <c r="L104" s="13"/>
      <c r="M104" s="16" t="str">
        <f aca="false">IF(AND(ISNUMBER(H104),ISNUMBER(I104),I104&gt;0),H104/I104,"")</f>
        <v/>
      </c>
      <c r="N104" s="17" t="str">
        <f aca="false">IF(AND(ISNUMBER(K104),ISNUMBER(L104)),L104-K104,"")</f>
        <v/>
      </c>
      <c r="O104" s="12"/>
    </row>
    <row r="105" customFormat="false" ht="15" hidden="false" customHeight="false" outlineLevel="0" collapsed="false">
      <c r="A105" s="12"/>
      <c r="B105" s="13"/>
      <c r="C105" s="12"/>
      <c r="D105" s="12"/>
      <c r="E105" s="12"/>
      <c r="F105" s="12"/>
      <c r="G105" s="12"/>
      <c r="H105" s="14"/>
      <c r="I105" s="15"/>
      <c r="J105" s="12"/>
      <c r="K105" s="13"/>
      <c r="L105" s="13"/>
      <c r="M105" s="16" t="str">
        <f aca="false">IF(AND(ISNUMBER(H105),ISNUMBER(I105),I105&gt;0),H105/I105,"")</f>
        <v/>
      </c>
      <c r="N105" s="17" t="str">
        <f aca="false">IF(AND(ISNUMBER(K105),ISNUMBER(L105)),L105-K105,"")</f>
        <v/>
      </c>
      <c r="O105" s="12"/>
    </row>
    <row r="106" customFormat="false" ht="15" hidden="false" customHeight="false" outlineLevel="0" collapsed="false">
      <c r="A106" s="12"/>
      <c r="B106" s="13"/>
      <c r="C106" s="12"/>
      <c r="D106" s="12"/>
      <c r="E106" s="12"/>
      <c r="F106" s="12"/>
      <c r="G106" s="12"/>
      <c r="H106" s="14"/>
      <c r="I106" s="15"/>
      <c r="J106" s="12"/>
      <c r="K106" s="13"/>
      <c r="L106" s="13"/>
      <c r="M106" s="16" t="str">
        <f aca="false">IF(AND(ISNUMBER(H106),ISNUMBER(I106),I106&gt;0),H106/I106,"")</f>
        <v/>
      </c>
      <c r="N106" s="17" t="str">
        <f aca="false">IF(AND(ISNUMBER(K106),ISNUMBER(L106)),L106-K106,"")</f>
        <v/>
      </c>
      <c r="O106" s="12"/>
    </row>
    <row r="107" customFormat="false" ht="15" hidden="false" customHeight="false" outlineLevel="0" collapsed="false">
      <c r="A107" s="12"/>
      <c r="B107" s="13"/>
      <c r="C107" s="12"/>
      <c r="D107" s="12"/>
      <c r="E107" s="12"/>
      <c r="F107" s="12"/>
      <c r="G107" s="12"/>
      <c r="H107" s="14"/>
      <c r="I107" s="15"/>
      <c r="J107" s="12"/>
      <c r="K107" s="13"/>
      <c r="L107" s="13"/>
      <c r="M107" s="16" t="str">
        <f aca="false">IF(AND(ISNUMBER(H107),ISNUMBER(I107),I107&gt;0),H107/I107,"")</f>
        <v/>
      </c>
      <c r="N107" s="17" t="str">
        <f aca="false">IF(AND(ISNUMBER(K107),ISNUMBER(L107)),L107-K107,"")</f>
        <v/>
      </c>
      <c r="O107" s="12"/>
    </row>
    <row r="108" customFormat="false" ht="15" hidden="false" customHeight="false" outlineLevel="0" collapsed="false">
      <c r="A108" s="12"/>
      <c r="B108" s="13"/>
      <c r="C108" s="12"/>
      <c r="D108" s="12"/>
      <c r="E108" s="12"/>
      <c r="F108" s="12"/>
      <c r="G108" s="12"/>
      <c r="H108" s="14"/>
      <c r="I108" s="15"/>
      <c r="J108" s="12"/>
      <c r="K108" s="13"/>
      <c r="L108" s="13"/>
      <c r="M108" s="16" t="str">
        <f aca="false">IF(AND(ISNUMBER(H108),ISNUMBER(I108),I108&gt;0),H108/I108,"")</f>
        <v/>
      </c>
      <c r="N108" s="17" t="str">
        <f aca="false">IF(AND(ISNUMBER(K108),ISNUMBER(L108)),L108-K108,"")</f>
        <v/>
      </c>
      <c r="O108" s="12"/>
    </row>
    <row r="109" customFormat="false" ht="15" hidden="false" customHeight="false" outlineLevel="0" collapsed="false">
      <c r="A109" s="12"/>
      <c r="B109" s="13"/>
      <c r="C109" s="12"/>
      <c r="D109" s="12"/>
      <c r="E109" s="12"/>
      <c r="F109" s="12"/>
      <c r="G109" s="12"/>
      <c r="H109" s="14"/>
      <c r="I109" s="15"/>
      <c r="J109" s="12"/>
      <c r="K109" s="13"/>
      <c r="L109" s="13"/>
      <c r="M109" s="16" t="str">
        <f aca="false">IF(AND(ISNUMBER(H109),ISNUMBER(I109),I109&gt;0),H109/I109,"")</f>
        <v/>
      </c>
      <c r="N109" s="17" t="str">
        <f aca="false">IF(AND(ISNUMBER(K109),ISNUMBER(L109)),L109-K109,"")</f>
        <v/>
      </c>
      <c r="O109" s="12"/>
    </row>
    <row r="110" customFormat="false" ht="15" hidden="false" customHeight="false" outlineLevel="0" collapsed="false">
      <c r="A110" s="12"/>
      <c r="B110" s="13"/>
      <c r="C110" s="12"/>
      <c r="D110" s="12"/>
      <c r="E110" s="12"/>
      <c r="F110" s="12"/>
      <c r="G110" s="12"/>
      <c r="H110" s="14"/>
      <c r="I110" s="15"/>
      <c r="J110" s="12"/>
      <c r="K110" s="13"/>
      <c r="L110" s="13"/>
      <c r="M110" s="16" t="str">
        <f aca="false">IF(AND(ISNUMBER(H110),ISNUMBER(I110),I110&gt;0),H110/I110,"")</f>
        <v/>
      </c>
      <c r="N110" s="17" t="str">
        <f aca="false">IF(AND(ISNUMBER(K110),ISNUMBER(L110)),L110-K110,"")</f>
        <v/>
      </c>
      <c r="O110" s="12"/>
    </row>
    <row r="111" customFormat="false" ht="15" hidden="false" customHeight="false" outlineLevel="0" collapsed="false">
      <c r="A111" s="12"/>
      <c r="B111" s="13"/>
      <c r="C111" s="12"/>
      <c r="D111" s="12"/>
      <c r="E111" s="12"/>
      <c r="F111" s="12"/>
      <c r="G111" s="12"/>
      <c r="H111" s="14"/>
      <c r="I111" s="15"/>
      <c r="J111" s="12"/>
      <c r="K111" s="13"/>
      <c r="L111" s="13"/>
      <c r="M111" s="16" t="str">
        <f aca="false">IF(AND(ISNUMBER(H111),ISNUMBER(I111),I111&gt;0),H111/I111,"")</f>
        <v/>
      </c>
      <c r="N111" s="17" t="str">
        <f aca="false">IF(AND(ISNUMBER(K111),ISNUMBER(L111)),L111-K111,"")</f>
        <v/>
      </c>
      <c r="O111" s="12"/>
    </row>
    <row r="112" customFormat="false" ht="15" hidden="false" customHeight="false" outlineLevel="0" collapsed="false">
      <c r="A112" s="12"/>
      <c r="B112" s="13"/>
      <c r="C112" s="12"/>
      <c r="D112" s="12"/>
      <c r="E112" s="12"/>
      <c r="F112" s="12"/>
      <c r="G112" s="12"/>
      <c r="H112" s="14"/>
      <c r="I112" s="15"/>
      <c r="J112" s="12"/>
      <c r="K112" s="13"/>
      <c r="L112" s="13"/>
      <c r="M112" s="16" t="str">
        <f aca="false">IF(AND(ISNUMBER(H112),ISNUMBER(I112),I112&gt;0),H112/I112,"")</f>
        <v/>
      </c>
      <c r="N112" s="17" t="str">
        <f aca="false">IF(AND(ISNUMBER(K112),ISNUMBER(L112)),L112-K112,"")</f>
        <v/>
      </c>
      <c r="O112" s="12"/>
    </row>
    <row r="113" customFormat="false" ht="15" hidden="false" customHeight="false" outlineLevel="0" collapsed="false">
      <c r="A113" s="12"/>
      <c r="B113" s="13"/>
      <c r="C113" s="12"/>
      <c r="D113" s="12"/>
      <c r="E113" s="12"/>
      <c r="F113" s="12"/>
      <c r="G113" s="12"/>
      <c r="H113" s="14"/>
      <c r="I113" s="15"/>
      <c r="J113" s="12"/>
      <c r="K113" s="13"/>
      <c r="L113" s="13"/>
      <c r="M113" s="16" t="str">
        <f aca="false">IF(AND(ISNUMBER(H113),ISNUMBER(I113),I113&gt;0),H113/I113,"")</f>
        <v/>
      </c>
      <c r="N113" s="17" t="str">
        <f aca="false">IF(AND(ISNUMBER(K113),ISNUMBER(L113)),L113-K113,"")</f>
        <v/>
      </c>
      <c r="O113" s="12"/>
    </row>
    <row r="114" customFormat="false" ht="15" hidden="false" customHeight="false" outlineLevel="0" collapsed="false">
      <c r="A114" s="12"/>
      <c r="B114" s="13"/>
      <c r="C114" s="12"/>
      <c r="D114" s="12"/>
      <c r="E114" s="12"/>
      <c r="F114" s="12"/>
      <c r="G114" s="12"/>
      <c r="H114" s="14"/>
      <c r="I114" s="15"/>
      <c r="J114" s="12"/>
      <c r="K114" s="13"/>
      <c r="L114" s="13"/>
      <c r="M114" s="16" t="str">
        <f aca="false">IF(AND(ISNUMBER(H114),ISNUMBER(I114),I114&gt;0),H114/I114,"")</f>
        <v/>
      </c>
      <c r="N114" s="17" t="str">
        <f aca="false">IF(AND(ISNUMBER(K114),ISNUMBER(L114)),L114-K114,"")</f>
        <v/>
      </c>
      <c r="O114" s="12"/>
    </row>
    <row r="115" customFormat="false" ht="15" hidden="false" customHeight="false" outlineLevel="0" collapsed="false">
      <c r="A115" s="12"/>
      <c r="B115" s="13"/>
      <c r="C115" s="12"/>
      <c r="D115" s="12"/>
      <c r="E115" s="12"/>
      <c r="F115" s="12"/>
      <c r="G115" s="12"/>
      <c r="H115" s="14"/>
      <c r="I115" s="15"/>
      <c r="J115" s="12"/>
      <c r="K115" s="13"/>
      <c r="L115" s="13"/>
      <c r="M115" s="16" t="str">
        <f aca="false">IF(AND(ISNUMBER(H115),ISNUMBER(I115),I115&gt;0),H115/I115,"")</f>
        <v/>
      </c>
      <c r="N115" s="17" t="str">
        <f aca="false">IF(AND(ISNUMBER(K115),ISNUMBER(L115)),L115-K115,"")</f>
        <v/>
      </c>
      <c r="O115" s="12"/>
    </row>
    <row r="116" customFormat="false" ht="15" hidden="false" customHeight="false" outlineLevel="0" collapsed="false">
      <c r="A116" s="12"/>
      <c r="B116" s="13"/>
      <c r="C116" s="12"/>
      <c r="D116" s="12"/>
      <c r="E116" s="12"/>
      <c r="F116" s="12"/>
      <c r="G116" s="12"/>
      <c r="H116" s="14"/>
      <c r="I116" s="15"/>
      <c r="J116" s="12"/>
      <c r="K116" s="13"/>
      <c r="L116" s="13"/>
      <c r="M116" s="16" t="str">
        <f aca="false">IF(AND(ISNUMBER(H116),ISNUMBER(I116),I116&gt;0),H116/I116,"")</f>
        <v/>
      </c>
      <c r="N116" s="17" t="str">
        <f aca="false">IF(AND(ISNUMBER(K116),ISNUMBER(L116)),L116-K116,"")</f>
        <v/>
      </c>
      <c r="O116" s="12"/>
    </row>
    <row r="117" customFormat="false" ht="15" hidden="false" customHeight="false" outlineLevel="0" collapsed="false">
      <c r="A117" s="12"/>
      <c r="B117" s="13"/>
      <c r="C117" s="12"/>
      <c r="D117" s="12"/>
      <c r="E117" s="12"/>
      <c r="F117" s="12"/>
      <c r="G117" s="12"/>
      <c r="H117" s="14"/>
      <c r="I117" s="15"/>
      <c r="J117" s="12"/>
      <c r="K117" s="13"/>
      <c r="L117" s="13"/>
      <c r="M117" s="16" t="str">
        <f aca="false">IF(AND(ISNUMBER(H117),ISNUMBER(I117),I117&gt;0),H117/I117,"")</f>
        <v/>
      </c>
      <c r="N117" s="17" t="str">
        <f aca="false">IF(AND(ISNUMBER(K117),ISNUMBER(L117)),L117-K117,"")</f>
        <v/>
      </c>
      <c r="O117" s="12"/>
    </row>
    <row r="118" customFormat="false" ht="15" hidden="false" customHeight="false" outlineLevel="0" collapsed="false">
      <c r="A118" s="12"/>
      <c r="B118" s="13"/>
      <c r="C118" s="12"/>
      <c r="D118" s="12"/>
      <c r="E118" s="12"/>
      <c r="F118" s="12"/>
      <c r="G118" s="12"/>
      <c r="H118" s="14"/>
      <c r="I118" s="15"/>
      <c r="J118" s="12"/>
      <c r="K118" s="13"/>
      <c r="L118" s="13"/>
      <c r="M118" s="16" t="str">
        <f aca="false">IF(AND(ISNUMBER(H118),ISNUMBER(I118),I118&gt;0),H118/I118,"")</f>
        <v/>
      </c>
      <c r="N118" s="17" t="str">
        <f aca="false">IF(AND(ISNUMBER(K118),ISNUMBER(L118)),L118-K118,"")</f>
        <v/>
      </c>
      <c r="O118" s="12"/>
    </row>
    <row r="119" customFormat="false" ht="15" hidden="false" customHeight="false" outlineLevel="0" collapsed="false">
      <c r="A119" s="12"/>
      <c r="B119" s="13"/>
      <c r="C119" s="12"/>
      <c r="D119" s="12"/>
      <c r="E119" s="12"/>
      <c r="F119" s="12"/>
      <c r="G119" s="12"/>
      <c r="H119" s="14"/>
      <c r="I119" s="15"/>
      <c r="J119" s="12"/>
      <c r="K119" s="13"/>
      <c r="L119" s="13"/>
      <c r="M119" s="16" t="str">
        <f aca="false">IF(AND(ISNUMBER(H119),ISNUMBER(I119),I119&gt;0),H119/I119,"")</f>
        <v/>
      </c>
      <c r="N119" s="17" t="str">
        <f aca="false">IF(AND(ISNUMBER(K119),ISNUMBER(L119)),L119-K119,"")</f>
        <v/>
      </c>
      <c r="O119" s="12"/>
    </row>
    <row r="120" customFormat="false" ht="15" hidden="false" customHeight="false" outlineLevel="0" collapsed="false">
      <c r="A120" s="12"/>
      <c r="B120" s="13"/>
      <c r="C120" s="12"/>
      <c r="D120" s="12"/>
      <c r="E120" s="12"/>
      <c r="F120" s="12"/>
      <c r="G120" s="12"/>
      <c r="H120" s="14"/>
      <c r="I120" s="15"/>
      <c r="J120" s="12"/>
      <c r="K120" s="13"/>
      <c r="L120" s="13"/>
      <c r="M120" s="16" t="str">
        <f aca="false">IF(AND(ISNUMBER(H120),ISNUMBER(I120),I120&gt;0),H120/I120,"")</f>
        <v/>
      </c>
      <c r="N120" s="17" t="str">
        <f aca="false">IF(AND(ISNUMBER(K120),ISNUMBER(L120)),L120-K120,"")</f>
        <v/>
      </c>
      <c r="O120" s="12"/>
    </row>
    <row r="121" customFormat="false" ht="15" hidden="false" customHeight="false" outlineLevel="0" collapsed="false">
      <c r="A121" s="12"/>
      <c r="B121" s="13"/>
      <c r="C121" s="12"/>
      <c r="D121" s="12"/>
      <c r="E121" s="12"/>
      <c r="F121" s="12"/>
      <c r="G121" s="12"/>
      <c r="H121" s="14"/>
      <c r="I121" s="15"/>
      <c r="J121" s="12"/>
      <c r="K121" s="13"/>
      <c r="L121" s="13"/>
      <c r="M121" s="16" t="str">
        <f aca="false">IF(AND(ISNUMBER(H121),ISNUMBER(I121),I121&gt;0),H121/I121,"")</f>
        <v/>
      </c>
      <c r="N121" s="17" t="str">
        <f aca="false">IF(AND(ISNUMBER(K121),ISNUMBER(L121)),L121-K121,"")</f>
        <v/>
      </c>
      <c r="O121" s="12"/>
    </row>
    <row r="122" customFormat="false" ht="15" hidden="false" customHeight="false" outlineLevel="0" collapsed="false">
      <c r="A122" s="12"/>
      <c r="B122" s="13"/>
      <c r="C122" s="12"/>
      <c r="D122" s="12"/>
      <c r="E122" s="12"/>
      <c r="F122" s="12"/>
      <c r="G122" s="12"/>
      <c r="H122" s="14"/>
      <c r="I122" s="15"/>
      <c r="J122" s="12"/>
      <c r="K122" s="13"/>
      <c r="L122" s="13"/>
      <c r="M122" s="16" t="str">
        <f aca="false">IF(AND(ISNUMBER(H122),ISNUMBER(I122),I122&gt;0),H122/I122,"")</f>
        <v/>
      </c>
      <c r="N122" s="17" t="str">
        <f aca="false">IF(AND(ISNUMBER(K122),ISNUMBER(L122)),L122-K122,"")</f>
        <v/>
      </c>
      <c r="O122" s="12"/>
    </row>
    <row r="123" customFormat="false" ht="15" hidden="false" customHeight="false" outlineLevel="0" collapsed="false">
      <c r="A123" s="12"/>
      <c r="B123" s="13"/>
      <c r="C123" s="12"/>
      <c r="D123" s="12"/>
      <c r="E123" s="12"/>
      <c r="F123" s="12"/>
      <c r="G123" s="12"/>
      <c r="H123" s="14"/>
      <c r="I123" s="15"/>
      <c r="J123" s="12"/>
      <c r="K123" s="13"/>
      <c r="L123" s="13"/>
      <c r="M123" s="16" t="str">
        <f aca="false">IF(AND(ISNUMBER(H123),ISNUMBER(I123),I123&gt;0),H123/I123,"")</f>
        <v/>
      </c>
      <c r="N123" s="17" t="str">
        <f aca="false">IF(AND(ISNUMBER(K123),ISNUMBER(L123)),L123-K123,"")</f>
        <v/>
      </c>
      <c r="O123" s="12"/>
    </row>
    <row r="124" customFormat="false" ht="15" hidden="false" customHeight="false" outlineLevel="0" collapsed="false">
      <c r="A124" s="12"/>
      <c r="B124" s="13"/>
      <c r="C124" s="12"/>
      <c r="D124" s="12"/>
      <c r="E124" s="12"/>
      <c r="F124" s="12"/>
      <c r="G124" s="12"/>
      <c r="H124" s="14"/>
      <c r="I124" s="15"/>
      <c r="J124" s="12"/>
      <c r="K124" s="13"/>
      <c r="L124" s="13"/>
      <c r="M124" s="16" t="str">
        <f aca="false">IF(AND(ISNUMBER(H124),ISNUMBER(I124),I124&gt;0),H124/I124,"")</f>
        <v/>
      </c>
      <c r="N124" s="17" t="str">
        <f aca="false">IF(AND(ISNUMBER(K124),ISNUMBER(L124)),L124-K124,"")</f>
        <v/>
      </c>
      <c r="O124" s="12"/>
    </row>
    <row r="125" customFormat="false" ht="15" hidden="false" customHeight="false" outlineLevel="0" collapsed="false">
      <c r="A125" s="12"/>
      <c r="B125" s="13"/>
      <c r="C125" s="12"/>
      <c r="D125" s="12"/>
      <c r="E125" s="12"/>
      <c r="F125" s="12"/>
      <c r="G125" s="12"/>
      <c r="H125" s="14"/>
      <c r="I125" s="15"/>
      <c r="J125" s="12"/>
      <c r="K125" s="13"/>
      <c r="L125" s="13"/>
      <c r="M125" s="16" t="str">
        <f aca="false">IF(AND(ISNUMBER(H125),ISNUMBER(I125),I125&gt;0),H125/I125,"")</f>
        <v/>
      </c>
      <c r="N125" s="17" t="str">
        <f aca="false">IF(AND(ISNUMBER(K125),ISNUMBER(L125)),L125-K125,"")</f>
        <v/>
      </c>
      <c r="O125" s="12"/>
    </row>
    <row r="126" customFormat="false" ht="15" hidden="false" customHeight="false" outlineLevel="0" collapsed="false">
      <c r="A126" s="12"/>
      <c r="B126" s="13"/>
      <c r="C126" s="12"/>
      <c r="D126" s="12"/>
      <c r="E126" s="12"/>
      <c r="F126" s="12"/>
      <c r="G126" s="12"/>
      <c r="H126" s="14"/>
      <c r="I126" s="15"/>
      <c r="J126" s="12"/>
      <c r="K126" s="13"/>
      <c r="L126" s="13"/>
      <c r="M126" s="16" t="str">
        <f aca="false">IF(AND(ISNUMBER(H126),ISNUMBER(I126),I126&gt;0),H126/I126,"")</f>
        <v/>
      </c>
      <c r="N126" s="17" t="str">
        <f aca="false">IF(AND(ISNUMBER(K126),ISNUMBER(L126)),L126-K126,"")</f>
        <v/>
      </c>
      <c r="O126" s="12"/>
    </row>
    <row r="127" customFormat="false" ht="15" hidden="false" customHeight="false" outlineLevel="0" collapsed="false">
      <c r="A127" s="12"/>
      <c r="B127" s="13"/>
      <c r="C127" s="12"/>
      <c r="D127" s="12"/>
      <c r="E127" s="12"/>
      <c r="F127" s="12"/>
      <c r="G127" s="12"/>
      <c r="H127" s="14"/>
      <c r="I127" s="15"/>
      <c r="J127" s="12"/>
      <c r="K127" s="13"/>
      <c r="L127" s="13"/>
      <c r="M127" s="16" t="str">
        <f aca="false">IF(AND(ISNUMBER(H127),ISNUMBER(I127),I127&gt;0),H127/I127,"")</f>
        <v/>
      </c>
      <c r="N127" s="17" t="str">
        <f aca="false">IF(AND(ISNUMBER(K127),ISNUMBER(L127)),L127-K127,"")</f>
        <v/>
      </c>
      <c r="O127" s="12"/>
    </row>
    <row r="128" customFormat="false" ht="15" hidden="false" customHeight="false" outlineLevel="0" collapsed="false">
      <c r="A128" s="12"/>
      <c r="B128" s="13"/>
      <c r="C128" s="12"/>
      <c r="D128" s="12"/>
      <c r="E128" s="12"/>
      <c r="F128" s="12"/>
      <c r="G128" s="12"/>
      <c r="H128" s="14"/>
      <c r="I128" s="15"/>
      <c r="J128" s="12"/>
      <c r="K128" s="13"/>
      <c r="L128" s="13"/>
      <c r="M128" s="16" t="str">
        <f aca="false">IF(AND(ISNUMBER(H128),ISNUMBER(I128),I128&gt;0),H128/I128,"")</f>
        <v/>
      </c>
      <c r="N128" s="17" t="str">
        <f aca="false">IF(AND(ISNUMBER(K128),ISNUMBER(L128)),L128-K128,"")</f>
        <v/>
      </c>
      <c r="O128" s="12"/>
    </row>
    <row r="129" customFormat="false" ht="15" hidden="false" customHeight="false" outlineLevel="0" collapsed="false">
      <c r="A129" s="12"/>
      <c r="B129" s="13"/>
      <c r="C129" s="12"/>
      <c r="D129" s="12"/>
      <c r="E129" s="12"/>
      <c r="F129" s="12"/>
      <c r="G129" s="12"/>
      <c r="H129" s="14"/>
      <c r="I129" s="15"/>
      <c r="J129" s="12"/>
      <c r="K129" s="13"/>
      <c r="L129" s="13"/>
      <c r="M129" s="16" t="str">
        <f aca="false">IF(AND(ISNUMBER(H129),ISNUMBER(I129),I129&gt;0),H129/I129,"")</f>
        <v/>
      </c>
      <c r="N129" s="17" t="str">
        <f aca="false">IF(AND(ISNUMBER(K129),ISNUMBER(L129)),L129-K129,"")</f>
        <v/>
      </c>
      <c r="O129" s="12"/>
    </row>
    <row r="130" customFormat="false" ht="15" hidden="false" customHeight="false" outlineLevel="0" collapsed="false">
      <c r="A130" s="12"/>
      <c r="B130" s="13"/>
      <c r="C130" s="12"/>
      <c r="D130" s="12"/>
      <c r="E130" s="12"/>
      <c r="F130" s="12"/>
      <c r="G130" s="12"/>
      <c r="H130" s="14"/>
      <c r="I130" s="15"/>
      <c r="J130" s="12"/>
      <c r="K130" s="13"/>
      <c r="L130" s="13"/>
      <c r="M130" s="16" t="str">
        <f aca="false">IF(AND(ISNUMBER(H130),ISNUMBER(I130),I130&gt;0),H130/I130,"")</f>
        <v/>
      </c>
      <c r="N130" s="17" t="str">
        <f aca="false">IF(AND(ISNUMBER(K130),ISNUMBER(L130)),L130-K130,"")</f>
        <v/>
      </c>
      <c r="O130" s="12"/>
    </row>
    <row r="131" customFormat="false" ht="15" hidden="false" customHeight="false" outlineLevel="0" collapsed="false">
      <c r="A131" s="12"/>
      <c r="B131" s="13"/>
      <c r="C131" s="12"/>
      <c r="D131" s="12"/>
      <c r="E131" s="12"/>
      <c r="F131" s="12"/>
      <c r="G131" s="12"/>
      <c r="H131" s="14"/>
      <c r="I131" s="15"/>
      <c r="J131" s="12"/>
      <c r="K131" s="13"/>
      <c r="L131" s="13"/>
      <c r="M131" s="16" t="str">
        <f aca="false">IF(AND(ISNUMBER(H131),ISNUMBER(I131),I131&gt;0),H131/I131,"")</f>
        <v/>
      </c>
      <c r="N131" s="17" t="str">
        <f aca="false">IF(AND(ISNUMBER(K131),ISNUMBER(L131)),L131-K131,"")</f>
        <v/>
      </c>
      <c r="O131" s="12"/>
    </row>
    <row r="132" customFormat="false" ht="15" hidden="false" customHeight="false" outlineLevel="0" collapsed="false">
      <c r="A132" s="12"/>
      <c r="B132" s="13"/>
      <c r="C132" s="12"/>
      <c r="D132" s="12"/>
      <c r="E132" s="12"/>
      <c r="F132" s="12"/>
      <c r="G132" s="12"/>
      <c r="H132" s="14"/>
      <c r="I132" s="15"/>
      <c r="J132" s="12"/>
      <c r="K132" s="13"/>
      <c r="L132" s="13"/>
      <c r="M132" s="16" t="str">
        <f aca="false">IF(AND(ISNUMBER(H132),ISNUMBER(I132),I132&gt;0),H132/I132,"")</f>
        <v/>
      </c>
      <c r="N132" s="17" t="str">
        <f aca="false">IF(AND(ISNUMBER(K132),ISNUMBER(L132)),L132-K132,"")</f>
        <v/>
      </c>
      <c r="O132" s="12"/>
    </row>
    <row r="133" customFormat="false" ht="15" hidden="false" customHeight="false" outlineLevel="0" collapsed="false">
      <c r="A133" s="12"/>
      <c r="B133" s="13"/>
      <c r="C133" s="12"/>
      <c r="D133" s="12"/>
      <c r="E133" s="12"/>
      <c r="F133" s="12"/>
      <c r="G133" s="12"/>
      <c r="H133" s="14"/>
      <c r="I133" s="15"/>
      <c r="J133" s="12"/>
      <c r="K133" s="13"/>
      <c r="L133" s="13"/>
      <c r="M133" s="16" t="str">
        <f aca="false">IF(AND(ISNUMBER(H133),ISNUMBER(I133),I133&gt;0),H133/I133,"")</f>
        <v/>
      </c>
      <c r="N133" s="17" t="str">
        <f aca="false">IF(AND(ISNUMBER(K133),ISNUMBER(L133)),L133-K133,"")</f>
        <v/>
      </c>
      <c r="O133" s="12"/>
    </row>
    <row r="134" customFormat="false" ht="15" hidden="false" customHeight="false" outlineLevel="0" collapsed="false">
      <c r="A134" s="12"/>
      <c r="B134" s="13"/>
      <c r="C134" s="12"/>
      <c r="D134" s="12"/>
      <c r="E134" s="12"/>
      <c r="F134" s="12"/>
      <c r="G134" s="12"/>
      <c r="H134" s="14"/>
      <c r="I134" s="15"/>
      <c r="J134" s="12"/>
      <c r="K134" s="13"/>
      <c r="L134" s="13"/>
      <c r="M134" s="16" t="str">
        <f aca="false">IF(AND(ISNUMBER(H134),ISNUMBER(I134),I134&gt;0),H134/I134,"")</f>
        <v/>
      </c>
      <c r="N134" s="17" t="str">
        <f aca="false">IF(AND(ISNUMBER(K134),ISNUMBER(L134)),L134-K134,"")</f>
        <v/>
      </c>
      <c r="O134" s="12"/>
    </row>
    <row r="135" customFormat="false" ht="15" hidden="false" customHeight="false" outlineLevel="0" collapsed="false">
      <c r="A135" s="12"/>
      <c r="B135" s="13"/>
      <c r="C135" s="12"/>
      <c r="D135" s="12"/>
      <c r="E135" s="12"/>
      <c r="F135" s="12"/>
      <c r="G135" s="12"/>
      <c r="H135" s="14"/>
      <c r="I135" s="15"/>
      <c r="J135" s="12"/>
      <c r="K135" s="13"/>
      <c r="L135" s="13"/>
      <c r="M135" s="16" t="str">
        <f aca="false">IF(AND(ISNUMBER(H135),ISNUMBER(I135),I135&gt;0),H135/I135,"")</f>
        <v/>
      </c>
      <c r="N135" s="17" t="str">
        <f aca="false">IF(AND(ISNUMBER(K135),ISNUMBER(L135)),L135-K135,"")</f>
        <v/>
      </c>
      <c r="O135" s="12"/>
    </row>
    <row r="136" customFormat="false" ht="15" hidden="false" customHeight="false" outlineLevel="0" collapsed="false">
      <c r="A136" s="12"/>
      <c r="B136" s="13"/>
      <c r="C136" s="12"/>
      <c r="D136" s="12"/>
      <c r="E136" s="12"/>
      <c r="F136" s="12"/>
      <c r="G136" s="12"/>
      <c r="H136" s="14"/>
      <c r="I136" s="15"/>
      <c r="J136" s="12"/>
      <c r="K136" s="13"/>
      <c r="L136" s="13"/>
      <c r="M136" s="16" t="str">
        <f aca="false">IF(AND(ISNUMBER(H136),ISNUMBER(I136),I136&gt;0),H136/I136,"")</f>
        <v/>
      </c>
      <c r="N136" s="17" t="str">
        <f aca="false">IF(AND(ISNUMBER(K136),ISNUMBER(L136)),L136-K136,"")</f>
        <v/>
      </c>
      <c r="O136" s="12"/>
    </row>
    <row r="137" customFormat="false" ht="15" hidden="false" customHeight="false" outlineLevel="0" collapsed="false">
      <c r="A137" s="12"/>
      <c r="B137" s="13"/>
      <c r="C137" s="12"/>
      <c r="D137" s="12"/>
      <c r="E137" s="12"/>
      <c r="F137" s="12"/>
      <c r="G137" s="12"/>
      <c r="H137" s="14"/>
      <c r="I137" s="15"/>
      <c r="J137" s="12"/>
      <c r="K137" s="13"/>
      <c r="L137" s="13"/>
      <c r="M137" s="16" t="str">
        <f aca="false">IF(AND(ISNUMBER(H137),ISNUMBER(I137),I137&gt;0),H137/I137,"")</f>
        <v/>
      </c>
      <c r="N137" s="17" t="str">
        <f aca="false">IF(AND(ISNUMBER(K137),ISNUMBER(L137)),L137-K137,"")</f>
        <v/>
      </c>
      <c r="O137" s="12"/>
    </row>
    <row r="138" customFormat="false" ht="15" hidden="false" customHeight="false" outlineLevel="0" collapsed="false">
      <c r="A138" s="12"/>
      <c r="B138" s="13"/>
      <c r="C138" s="12"/>
      <c r="D138" s="12"/>
      <c r="E138" s="12"/>
      <c r="F138" s="12"/>
      <c r="G138" s="12"/>
      <c r="H138" s="14"/>
      <c r="I138" s="15"/>
      <c r="J138" s="12"/>
      <c r="K138" s="13"/>
      <c r="L138" s="13"/>
      <c r="M138" s="16" t="str">
        <f aca="false">IF(AND(ISNUMBER(H138),ISNUMBER(I138),I138&gt;0),H138/I138,"")</f>
        <v/>
      </c>
      <c r="N138" s="17" t="str">
        <f aca="false">IF(AND(ISNUMBER(K138),ISNUMBER(L138)),L138-K138,"")</f>
        <v/>
      </c>
      <c r="O138" s="12"/>
    </row>
    <row r="139" customFormat="false" ht="15" hidden="false" customHeight="false" outlineLevel="0" collapsed="false">
      <c r="A139" s="12"/>
      <c r="B139" s="13"/>
      <c r="C139" s="12"/>
      <c r="D139" s="12"/>
      <c r="E139" s="12"/>
      <c r="F139" s="12"/>
      <c r="G139" s="12"/>
      <c r="H139" s="14"/>
      <c r="I139" s="15"/>
      <c r="J139" s="12"/>
      <c r="K139" s="13"/>
      <c r="L139" s="13"/>
      <c r="M139" s="16" t="str">
        <f aca="false">IF(AND(ISNUMBER(H139),ISNUMBER(I139),I139&gt;0),H139/I139,"")</f>
        <v/>
      </c>
      <c r="N139" s="17" t="str">
        <f aca="false">IF(AND(ISNUMBER(K139),ISNUMBER(L139)),L139-K139,"")</f>
        <v/>
      </c>
      <c r="O139" s="12"/>
    </row>
    <row r="140" customFormat="false" ht="15" hidden="false" customHeight="false" outlineLevel="0" collapsed="false">
      <c r="A140" s="12"/>
      <c r="B140" s="13"/>
      <c r="C140" s="12"/>
      <c r="D140" s="12"/>
      <c r="E140" s="12"/>
      <c r="F140" s="12"/>
      <c r="G140" s="12"/>
      <c r="H140" s="14"/>
      <c r="I140" s="15"/>
      <c r="J140" s="12"/>
      <c r="K140" s="13"/>
      <c r="L140" s="13"/>
      <c r="M140" s="16" t="str">
        <f aca="false">IF(AND(ISNUMBER(H140),ISNUMBER(I140),I140&gt;0),H140/I140,"")</f>
        <v/>
      </c>
      <c r="N140" s="17" t="str">
        <f aca="false">IF(AND(ISNUMBER(K140),ISNUMBER(L140)),L140-K140,"")</f>
        <v/>
      </c>
      <c r="O140" s="12"/>
    </row>
    <row r="141" customFormat="false" ht="15" hidden="false" customHeight="false" outlineLevel="0" collapsed="false">
      <c r="A141" s="12"/>
      <c r="B141" s="13"/>
      <c r="C141" s="12"/>
      <c r="D141" s="12"/>
      <c r="E141" s="12"/>
      <c r="F141" s="12"/>
      <c r="G141" s="12"/>
      <c r="H141" s="14"/>
      <c r="I141" s="15"/>
      <c r="J141" s="12"/>
      <c r="K141" s="13"/>
      <c r="L141" s="13"/>
      <c r="M141" s="16" t="str">
        <f aca="false">IF(AND(ISNUMBER(H141),ISNUMBER(I141),I141&gt;0),H141/I141,"")</f>
        <v/>
      </c>
      <c r="N141" s="17" t="str">
        <f aca="false">IF(AND(ISNUMBER(K141),ISNUMBER(L141)),L141-K141,"")</f>
        <v/>
      </c>
      <c r="O141" s="12"/>
    </row>
    <row r="142" customFormat="false" ht="15" hidden="false" customHeight="false" outlineLevel="0" collapsed="false">
      <c r="A142" s="12"/>
      <c r="B142" s="13"/>
      <c r="C142" s="12"/>
      <c r="D142" s="12"/>
      <c r="E142" s="12"/>
      <c r="F142" s="12"/>
      <c r="G142" s="12"/>
      <c r="H142" s="14"/>
      <c r="I142" s="15"/>
      <c r="J142" s="12"/>
      <c r="K142" s="13"/>
      <c r="L142" s="13"/>
      <c r="M142" s="16" t="str">
        <f aca="false">IF(AND(ISNUMBER(H142),ISNUMBER(I142),I142&gt;0),H142/I142,"")</f>
        <v/>
      </c>
      <c r="N142" s="17" t="str">
        <f aca="false">IF(AND(ISNUMBER(K142),ISNUMBER(L142)),L142-K142,"")</f>
        <v/>
      </c>
      <c r="O142" s="12"/>
    </row>
    <row r="143" customFormat="false" ht="15" hidden="false" customHeight="false" outlineLevel="0" collapsed="false">
      <c r="A143" s="12"/>
      <c r="B143" s="13"/>
      <c r="C143" s="12"/>
      <c r="D143" s="12"/>
      <c r="E143" s="12"/>
      <c r="F143" s="12"/>
      <c r="G143" s="12"/>
      <c r="H143" s="14"/>
      <c r="I143" s="15"/>
      <c r="J143" s="12"/>
      <c r="K143" s="13"/>
      <c r="L143" s="13"/>
      <c r="M143" s="16" t="str">
        <f aca="false">IF(AND(ISNUMBER(H143),ISNUMBER(I143),I143&gt;0),H143/I143,"")</f>
        <v/>
      </c>
      <c r="N143" s="17" t="str">
        <f aca="false">IF(AND(ISNUMBER(K143),ISNUMBER(L143)),L143-K143,"")</f>
        <v/>
      </c>
      <c r="O143" s="12"/>
    </row>
    <row r="144" customFormat="false" ht="15" hidden="false" customHeight="false" outlineLevel="0" collapsed="false">
      <c r="A144" s="12"/>
      <c r="B144" s="13"/>
      <c r="C144" s="12"/>
      <c r="D144" s="12"/>
      <c r="E144" s="12"/>
      <c r="F144" s="12"/>
      <c r="G144" s="12"/>
      <c r="H144" s="14"/>
      <c r="I144" s="15"/>
      <c r="J144" s="12"/>
      <c r="K144" s="13"/>
      <c r="L144" s="13"/>
      <c r="M144" s="16" t="str">
        <f aca="false">IF(AND(ISNUMBER(H144),ISNUMBER(I144),I144&gt;0),H144/I144,"")</f>
        <v/>
      </c>
      <c r="N144" s="17" t="str">
        <f aca="false">IF(AND(ISNUMBER(K144),ISNUMBER(L144)),L144-K144,"")</f>
        <v/>
      </c>
      <c r="O144" s="12"/>
    </row>
    <row r="145" customFormat="false" ht="15" hidden="false" customHeight="false" outlineLevel="0" collapsed="false">
      <c r="A145" s="12"/>
      <c r="B145" s="13"/>
      <c r="C145" s="12"/>
      <c r="D145" s="12"/>
      <c r="E145" s="12"/>
      <c r="F145" s="12"/>
      <c r="G145" s="12"/>
      <c r="H145" s="14"/>
      <c r="I145" s="15"/>
      <c r="J145" s="12"/>
      <c r="K145" s="13"/>
      <c r="L145" s="13"/>
      <c r="M145" s="16" t="str">
        <f aca="false">IF(AND(ISNUMBER(H145),ISNUMBER(I145),I145&gt;0),H145/I145,"")</f>
        <v/>
      </c>
      <c r="N145" s="17" t="str">
        <f aca="false">IF(AND(ISNUMBER(K145),ISNUMBER(L145)),L145-K145,"")</f>
        <v/>
      </c>
      <c r="O145" s="12"/>
    </row>
    <row r="146" customFormat="false" ht="15" hidden="false" customHeight="false" outlineLevel="0" collapsed="false">
      <c r="A146" s="12"/>
      <c r="B146" s="13"/>
      <c r="C146" s="12"/>
      <c r="D146" s="12"/>
      <c r="E146" s="12"/>
      <c r="F146" s="12"/>
      <c r="G146" s="12"/>
      <c r="H146" s="14"/>
      <c r="I146" s="15"/>
      <c r="J146" s="12"/>
      <c r="K146" s="13"/>
      <c r="L146" s="13"/>
      <c r="M146" s="16" t="str">
        <f aca="false">IF(AND(ISNUMBER(H146),ISNUMBER(I146),I146&gt;0),H146/I146,"")</f>
        <v/>
      </c>
      <c r="N146" s="17" t="str">
        <f aca="false">IF(AND(ISNUMBER(K146),ISNUMBER(L146)),L146-K146,"")</f>
        <v/>
      </c>
      <c r="O146" s="12"/>
    </row>
    <row r="147" customFormat="false" ht="15" hidden="false" customHeight="false" outlineLevel="0" collapsed="false">
      <c r="A147" s="12"/>
      <c r="B147" s="13"/>
      <c r="C147" s="12"/>
      <c r="D147" s="12"/>
      <c r="E147" s="12"/>
      <c r="F147" s="12"/>
      <c r="G147" s="12"/>
      <c r="H147" s="14"/>
      <c r="I147" s="15"/>
      <c r="J147" s="12"/>
      <c r="K147" s="13"/>
      <c r="L147" s="13"/>
      <c r="M147" s="16" t="str">
        <f aca="false">IF(AND(ISNUMBER(H147),ISNUMBER(I147),I147&gt;0),H147/I147,"")</f>
        <v/>
      </c>
      <c r="N147" s="17" t="str">
        <f aca="false">IF(AND(ISNUMBER(K147),ISNUMBER(L147)),L147-K147,"")</f>
        <v/>
      </c>
      <c r="O147" s="12"/>
    </row>
    <row r="148" customFormat="false" ht="15" hidden="false" customHeight="false" outlineLevel="0" collapsed="false">
      <c r="A148" s="12"/>
      <c r="B148" s="13"/>
      <c r="C148" s="12"/>
      <c r="D148" s="12"/>
      <c r="E148" s="12"/>
      <c r="F148" s="12"/>
      <c r="G148" s="12"/>
      <c r="H148" s="14"/>
      <c r="I148" s="15"/>
      <c r="J148" s="12"/>
      <c r="K148" s="13"/>
      <c r="L148" s="13"/>
      <c r="M148" s="16" t="str">
        <f aca="false">IF(AND(ISNUMBER(H148),ISNUMBER(I148),I148&gt;0),H148/I148,"")</f>
        <v/>
      </c>
      <c r="N148" s="17" t="str">
        <f aca="false">IF(AND(ISNUMBER(K148),ISNUMBER(L148)),L148-K148,"")</f>
        <v/>
      </c>
      <c r="O148" s="12"/>
    </row>
    <row r="149" customFormat="false" ht="15" hidden="false" customHeight="false" outlineLevel="0" collapsed="false">
      <c r="A149" s="12"/>
      <c r="B149" s="13"/>
      <c r="C149" s="12"/>
      <c r="D149" s="12"/>
      <c r="E149" s="12"/>
      <c r="F149" s="12"/>
      <c r="G149" s="12"/>
      <c r="H149" s="14"/>
      <c r="I149" s="15"/>
      <c r="J149" s="12"/>
      <c r="K149" s="13"/>
      <c r="L149" s="13"/>
      <c r="M149" s="16" t="str">
        <f aca="false">IF(AND(ISNUMBER(H149),ISNUMBER(I149),I149&gt;0),H149/I149,"")</f>
        <v/>
      </c>
      <c r="N149" s="17" t="str">
        <f aca="false">IF(AND(ISNUMBER(K149),ISNUMBER(L149)),L149-K149,"")</f>
        <v/>
      </c>
      <c r="O149" s="12"/>
    </row>
    <row r="150" customFormat="false" ht="15" hidden="false" customHeight="false" outlineLevel="0" collapsed="false">
      <c r="A150" s="12"/>
      <c r="B150" s="13"/>
      <c r="C150" s="12"/>
      <c r="D150" s="12"/>
      <c r="E150" s="12"/>
      <c r="F150" s="12"/>
      <c r="G150" s="12"/>
      <c r="H150" s="14"/>
      <c r="I150" s="15"/>
      <c r="J150" s="12"/>
      <c r="K150" s="13"/>
      <c r="L150" s="13"/>
      <c r="M150" s="16" t="str">
        <f aca="false">IF(AND(ISNUMBER(H150),ISNUMBER(I150),I150&gt;0),H150/I150,"")</f>
        <v/>
      </c>
      <c r="N150" s="17" t="str">
        <f aca="false">IF(AND(ISNUMBER(K150),ISNUMBER(L150)),L150-K150,"")</f>
        <v/>
      </c>
      <c r="O150" s="12"/>
    </row>
    <row r="151" customFormat="false" ht="15" hidden="false" customHeight="false" outlineLevel="0" collapsed="false">
      <c r="A151" s="12"/>
      <c r="B151" s="13"/>
      <c r="C151" s="12"/>
      <c r="D151" s="12"/>
      <c r="E151" s="12"/>
      <c r="F151" s="12"/>
      <c r="G151" s="12"/>
      <c r="H151" s="14"/>
      <c r="I151" s="15"/>
      <c r="J151" s="12"/>
      <c r="K151" s="13"/>
      <c r="L151" s="13"/>
      <c r="M151" s="16" t="str">
        <f aca="false">IF(AND(ISNUMBER(H151),ISNUMBER(I151),I151&gt;0),H151/I151,"")</f>
        <v/>
      </c>
      <c r="N151" s="17" t="str">
        <f aca="false">IF(AND(ISNUMBER(K151),ISNUMBER(L151)),L151-K151,"")</f>
        <v/>
      </c>
      <c r="O151" s="12"/>
    </row>
    <row r="152" customFormat="false" ht="15" hidden="false" customHeight="false" outlineLevel="0" collapsed="false">
      <c r="A152" s="12"/>
      <c r="B152" s="13"/>
      <c r="C152" s="12"/>
      <c r="D152" s="12"/>
      <c r="E152" s="12"/>
      <c r="F152" s="12"/>
      <c r="G152" s="12"/>
      <c r="H152" s="14"/>
      <c r="I152" s="15"/>
      <c r="J152" s="12"/>
      <c r="K152" s="13"/>
      <c r="L152" s="13"/>
      <c r="M152" s="16" t="str">
        <f aca="false">IF(AND(ISNUMBER(H152),ISNUMBER(I152),I152&gt;0),H152/I152,"")</f>
        <v/>
      </c>
      <c r="N152" s="17" t="str">
        <f aca="false">IF(AND(ISNUMBER(K152),ISNUMBER(L152)),L152-K152,"")</f>
        <v/>
      </c>
      <c r="O152" s="12"/>
    </row>
    <row r="153" customFormat="false" ht="15" hidden="false" customHeight="false" outlineLevel="0" collapsed="false">
      <c r="A153" s="12"/>
      <c r="B153" s="13"/>
      <c r="C153" s="12"/>
      <c r="D153" s="12"/>
      <c r="E153" s="12"/>
      <c r="F153" s="12"/>
      <c r="G153" s="12"/>
      <c r="H153" s="14"/>
      <c r="I153" s="15"/>
      <c r="J153" s="12"/>
      <c r="K153" s="13"/>
      <c r="L153" s="13"/>
      <c r="M153" s="16" t="str">
        <f aca="false">IF(AND(ISNUMBER(H153),ISNUMBER(I153),I153&gt;0),H153/I153,"")</f>
        <v/>
      </c>
      <c r="N153" s="17" t="str">
        <f aca="false">IF(AND(ISNUMBER(K153),ISNUMBER(L153)),L153-K153,"")</f>
        <v/>
      </c>
      <c r="O153" s="12"/>
    </row>
    <row r="154" customFormat="false" ht="15" hidden="false" customHeight="false" outlineLevel="0" collapsed="false">
      <c r="A154" s="12"/>
      <c r="B154" s="13"/>
      <c r="C154" s="12"/>
      <c r="D154" s="12"/>
      <c r="E154" s="12"/>
      <c r="F154" s="12"/>
      <c r="G154" s="12"/>
      <c r="H154" s="14"/>
      <c r="I154" s="15"/>
      <c r="J154" s="12"/>
      <c r="K154" s="13"/>
      <c r="L154" s="13"/>
      <c r="M154" s="16" t="str">
        <f aca="false">IF(AND(ISNUMBER(H154),ISNUMBER(I154),I154&gt;0),H154/I154,"")</f>
        <v/>
      </c>
      <c r="N154" s="17" t="str">
        <f aca="false">IF(AND(ISNUMBER(K154),ISNUMBER(L154)),L154-K154,"")</f>
        <v/>
      </c>
      <c r="O154" s="12"/>
    </row>
    <row r="155" customFormat="false" ht="15" hidden="false" customHeight="false" outlineLevel="0" collapsed="false">
      <c r="A155" s="12"/>
      <c r="B155" s="13"/>
      <c r="C155" s="12"/>
      <c r="D155" s="12"/>
      <c r="E155" s="12"/>
      <c r="F155" s="12"/>
      <c r="G155" s="12"/>
      <c r="H155" s="14"/>
      <c r="I155" s="15"/>
      <c r="J155" s="12"/>
      <c r="K155" s="13"/>
      <c r="L155" s="13"/>
      <c r="M155" s="16" t="str">
        <f aca="false">IF(AND(ISNUMBER(H155),ISNUMBER(I155),I155&gt;0),H155/I155,"")</f>
        <v/>
      </c>
      <c r="N155" s="17" t="str">
        <f aca="false">IF(AND(ISNUMBER(K155),ISNUMBER(L155)),L155-K155,"")</f>
        <v/>
      </c>
      <c r="O155" s="12"/>
    </row>
    <row r="156" customFormat="false" ht="15" hidden="false" customHeight="false" outlineLevel="0" collapsed="false">
      <c r="A156" s="12"/>
      <c r="B156" s="13"/>
      <c r="C156" s="12"/>
      <c r="D156" s="12"/>
      <c r="E156" s="12"/>
      <c r="F156" s="12"/>
      <c r="G156" s="12"/>
      <c r="H156" s="14"/>
      <c r="I156" s="15"/>
      <c r="J156" s="12"/>
      <c r="K156" s="13"/>
      <c r="L156" s="13"/>
      <c r="M156" s="16" t="str">
        <f aca="false">IF(AND(ISNUMBER(H156),ISNUMBER(I156),I156&gt;0),H156/I156,"")</f>
        <v/>
      </c>
      <c r="N156" s="17" t="str">
        <f aca="false">IF(AND(ISNUMBER(K156),ISNUMBER(L156)),L156-K156,"")</f>
        <v/>
      </c>
      <c r="O156" s="12"/>
    </row>
    <row r="157" customFormat="false" ht="15" hidden="false" customHeight="false" outlineLevel="0" collapsed="false">
      <c r="A157" s="12"/>
      <c r="B157" s="13"/>
      <c r="C157" s="12"/>
      <c r="D157" s="12"/>
      <c r="E157" s="12"/>
      <c r="F157" s="12"/>
      <c r="G157" s="12"/>
      <c r="H157" s="14"/>
      <c r="I157" s="15"/>
      <c r="J157" s="12"/>
      <c r="K157" s="13"/>
      <c r="L157" s="13"/>
      <c r="M157" s="16" t="str">
        <f aca="false">IF(AND(ISNUMBER(H157),ISNUMBER(I157),I157&gt;0),H157/I157,"")</f>
        <v/>
      </c>
      <c r="N157" s="17" t="str">
        <f aca="false">IF(AND(ISNUMBER(K157),ISNUMBER(L157)),L157-K157,"")</f>
        <v/>
      </c>
      <c r="O157" s="12"/>
    </row>
    <row r="158" customFormat="false" ht="15" hidden="false" customHeight="false" outlineLevel="0" collapsed="false">
      <c r="A158" s="12"/>
      <c r="B158" s="13"/>
      <c r="C158" s="12"/>
      <c r="D158" s="12"/>
      <c r="E158" s="12"/>
      <c r="F158" s="12"/>
      <c r="G158" s="12"/>
      <c r="H158" s="14"/>
      <c r="I158" s="15"/>
      <c r="J158" s="12"/>
      <c r="K158" s="13"/>
      <c r="L158" s="13"/>
      <c r="M158" s="16" t="str">
        <f aca="false">IF(AND(ISNUMBER(H158),ISNUMBER(I158),I158&gt;0),H158/I158,"")</f>
        <v/>
      </c>
      <c r="N158" s="17" t="str">
        <f aca="false">IF(AND(ISNUMBER(K158),ISNUMBER(L158)),L158-K158,"")</f>
        <v/>
      </c>
      <c r="O158" s="12"/>
    </row>
    <row r="159" customFormat="false" ht="15" hidden="false" customHeight="false" outlineLevel="0" collapsed="false">
      <c r="A159" s="12"/>
      <c r="B159" s="13"/>
      <c r="C159" s="12"/>
      <c r="D159" s="12"/>
      <c r="E159" s="12"/>
      <c r="F159" s="12"/>
      <c r="G159" s="12"/>
      <c r="H159" s="14"/>
      <c r="I159" s="15"/>
      <c r="J159" s="12"/>
      <c r="K159" s="13"/>
      <c r="L159" s="13"/>
      <c r="M159" s="16" t="str">
        <f aca="false">IF(AND(ISNUMBER(H159),ISNUMBER(I159),I159&gt;0),H159/I159,"")</f>
        <v/>
      </c>
      <c r="N159" s="17" t="str">
        <f aca="false">IF(AND(ISNUMBER(K159),ISNUMBER(L159)),L159-K159,"")</f>
        <v/>
      </c>
      <c r="O159" s="12"/>
    </row>
    <row r="160" customFormat="false" ht="15" hidden="false" customHeight="false" outlineLevel="0" collapsed="false">
      <c r="A160" s="12"/>
      <c r="B160" s="13"/>
      <c r="C160" s="12"/>
      <c r="D160" s="12"/>
      <c r="E160" s="12"/>
      <c r="F160" s="12"/>
      <c r="G160" s="12"/>
      <c r="H160" s="14"/>
      <c r="I160" s="15"/>
      <c r="J160" s="12"/>
      <c r="K160" s="13"/>
      <c r="L160" s="13"/>
      <c r="M160" s="16" t="str">
        <f aca="false">IF(AND(ISNUMBER(H160),ISNUMBER(I160),I160&gt;0),H160/I160,"")</f>
        <v/>
      </c>
      <c r="N160" s="17" t="str">
        <f aca="false">IF(AND(ISNUMBER(K160),ISNUMBER(L160)),L160-K160,"")</f>
        <v/>
      </c>
      <c r="O160" s="12"/>
    </row>
    <row r="161" customFormat="false" ht="15" hidden="false" customHeight="false" outlineLevel="0" collapsed="false">
      <c r="A161" s="12"/>
      <c r="B161" s="13"/>
      <c r="C161" s="12"/>
      <c r="D161" s="12"/>
      <c r="E161" s="12"/>
      <c r="F161" s="12"/>
      <c r="G161" s="12"/>
      <c r="H161" s="14"/>
      <c r="I161" s="15"/>
      <c r="J161" s="12"/>
      <c r="K161" s="13"/>
      <c r="L161" s="13"/>
      <c r="M161" s="16" t="str">
        <f aca="false">IF(AND(ISNUMBER(H161),ISNUMBER(I161),I161&gt;0),H161/I161,"")</f>
        <v/>
      </c>
      <c r="N161" s="17" t="str">
        <f aca="false">IF(AND(ISNUMBER(K161),ISNUMBER(L161)),L161-K161,"")</f>
        <v/>
      </c>
      <c r="O161" s="12"/>
    </row>
    <row r="162" customFormat="false" ht="15" hidden="false" customHeight="false" outlineLevel="0" collapsed="false">
      <c r="A162" s="12"/>
      <c r="B162" s="13"/>
      <c r="C162" s="12"/>
      <c r="D162" s="12"/>
      <c r="E162" s="12"/>
      <c r="F162" s="12"/>
      <c r="G162" s="12"/>
      <c r="H162" s="14"/>
      <c r="I162" s="15"/>
      <c r="J162" s="12"/>
      <c r="K162" s="13"/>
      <c r="L162" s="13"/>
      <c r="M162" s="16" t="str">
        <f aca="false">IF(AND(ISNUMBER(H162),ISNUMBER(I162),I162&gt;0),H162/I162,"")</f>
        <v/>
      </c>
      <c r="N162" s="17" t="str">
        <f aca="false">IF(AND(ISNUMBER(K162),ISNUMBER(L162)),L162-K162,"")</f>
        <v/>
      </c>
      <c r="O162" s="12"/>
    </row>
    <row r="163" customFormat="false" ht="15" hidden="false" customHeight="false" outlineLevel="0" collapsed="false">
      <c r="A163" s="12"/>
      <c r="B163" s="13"/>
      <c r="C163" s="12"/>
      <c r="D163" s="12"/>
      <c r="E163" s="12"/>
      <c r="F163" s="12"/>
      <c r="G163" s="12"/>
      <c r="H163" s="14"/>
      <c r="I163" s="15"/>
      <c r="J163" s="12"/>
      <c r="K163" s="13"/>
      <c r="L163" s="13"/>
      <c r="M163" s="16" t="str">
        <f aca="false">IF(AND(ISNUMBER(H163),ISNUMBER(I163),I163&gt;0),H163/I163,"")</f>
        <v/>
      </c>
      <c r="N163" s="17" t="str">
        <f aca="false">IF(AND(ISNUMBER(K163),ISNUMBER(L163)),L163-K163,"")</f>
        <v/>
      </c>
      <c r="O163" s="12"/>
    </row>
    <row r="164" customFormat="false" ht="15" hidden="false" customHeight="false" outlineLevel="0" collapsed="false">
      <c r="A164" s="12"/>
      <c r="B164" s="13"/>
      <c r="C164" s="12"/>
      <c r="D164" s="12"/>
      <c r="E164" s="12"/>
      <c r="F164" s="12"/>
      <c r="G164" s="12"/>
      <c r="H164" s="14"/>
      <c r="I164" s="15"/>
      <c r="J164" s="12"/>
      <c r="K164" s="13"/>
      <c r="L164" s="13"/>
      <c r="M164" s="16" t="str">
        <f aca="false">IF(AND(ISNUMBER(H164),ISNUMBER(I164),I164&gt;0),H164/I164,"")</f>
        <v/>
      </c>
      <c r="N164" s="17" t="str">
        <f aca="false">IF(AND(ISNUMBER(K164),ISNUMBER(L164)),L164-K164,"")</f>
        <v/>
      </c>
      <c r="O164" s="12"/>
    </row>
    <row r="165" customFormat="false" ht="15" hidden="false" customHeight="false" outlineLevel="0" collapsed="false">
      <c r="A165" s="12"/>
      <c r="B165" s="13"/>
      <c r="C165" s="12"/>
      <c r="D165" s="12"/>
      <c r="E165" s="12"/>
      <c r="F165" s="12"/>
      <c r="G165" s="12"/>
      <c r="H165" s="14"/>
      <c r="I165" s="15"/>
      <c r="J165" s="12"/>
      <c r="K165" s="13"/>
      <c r="L165" s="13"/>
      <c r="M165" s="16" t="str">
        <f aca="false">IF(AND(ISNUMBER(H165),ISNUMBER(I165),I165&gt;0),H165/I165,"")</f>
        <v/>
      </c>
      <c r="N165" s="17" t="str">
        <f aca="false">IF(AND(ISNUMBER(K165),ISNUMBER(L165)),L165-K165,"")</f>
        <v/>
      </c>
      <c r="O165" s="12"/>
    </row>
    <row r="166" customFormat="false" ht="15" hidden="false" customHeight="false" outlineLevel="0" collapsed="false">
      <c r="A166" s="12"/>
      <c r="B166" s="13"/>
      <c r="C166" s="12"/>
      <c r="D166" s="12"/>
      <c r="E166" s="12"/>
      <c r="F166" s="12"/>
      <c r="G166" s="12"/>
      <c r="H166" s="14"/>
      <c r="I166" s="15"/>
      <c r="J166" s="12"/>
      <c r="K166" s="13"/>
      <c r="L166" s="13"/>
      <c r="M166" s="16" t="str">
        <f aca="false">IF(AND(ISNUMBER(H166),ISNUMBER(I166),I166&gt;0),H166/I166,"")</f>
        <v/>
      </c>
      <c r="N166" s="17" t="str">
        <f aca="false">IF(AND(ISNUMBER(K166),ISNUMBER(L166)),L166-K166,"")</f>
        <v/>
      </c>
      <c r="O166" s="12"/>
    </row>
    <row r="167" customFormat="false" ht="15" hidden="false" customHeight="false" outlineLevel="0" collapsed="false">
      <c r="A167" s="12"/>
      <c r="B167" s="13"/>
      <c r="C167" s="12"/>
      <c r="D167" s="12"/>
      <c r="E167" s="12"/>
      <c r="F167" s="12"/>
      <c r="G167" s="12"/>
      <c r="H167" s="14"/>
      <c r="I167" s="15"/>
      <c r="J167" s="12"/>
      <c r="K167" s="13"/>
      <c r="L167" s="13"/>
      <c r="M167" s="16" t="str">
        <f aca="false">IF(AND(ISNUMBER(H167),ISNUMBER(I167),I167&gt;0),H167/I167,"")</f>
        <v/>
      </c>
      <c r="N167" s="17" t="str">
        <f aca="false">IF(AND(ISNUMBER(K167),ISNUMBER(L167)),L167-K167,"")</f>
        <v/>
      </c>
      <c r="O167" s="12"/>
    </row>
    <row r="168" customFormat="false" ht="15" hidden="false" customHeight="false" outlineLevel="0" collapsed="false">
      <c r="A168" s="12"/>
      <c r="B168" s="13"/>
      <c r="C168" s="12"/>
      <c r="D168" s="12"/>
      <c r="E168" s="12"/>
      <c r="F168" s="12"/>
      <c r="G168" s="12"/>
      <c r="H168" s="14"/>
      <c r="I168" s="15"/>
      <c r="J168" s="12"/>
      <c r="K168" s="13"/>
      <c r="L168" s="13"/>
      <c r="M168" s="16" t="str">
        <f aca="false">IF(AND(ISNUMBER(H168),ISNUMBER(I168),I168&gt;0),H168/I168,"")</f>
        <v/>
      </c>
      <c r="N168" s="17" t="str">
        <f aca="false">IF(AND(ISNUMBER(K168),ISNUMBER(L168)),L168-K168,"")</f>
        <v/>
      </c>
      <c r="O168" s="12"/>
    </row>
    <row r="169" customFormat="false" ht="15" hidden="false" customHeight="false" outlineLevel="0" collapsed="false">
      <c r="A169" s="12"/>
      <c r="B169" s="13"/>
      <c r="C169" s="12"/>
      <c r="D169" s="12"/>
      <c r="E169" s="12"/>
      <c r="F169" s="12"/>
      <c r="G169" s="12"/>
      <c r="H169" s="14"/>
      <c r="I169" s="15"/>
      <c r="J169" s="12"/>
      <c r="K169" s="13"/>
      <c r="L169" s="13"/>
      <c r="M169" s="16" t="str">
        <f aca="false">IF(AND(ISNUMBER(H169),ISNUMBER(I169),I169&gt;0),H169/I169,"")</f>
        <v/>
      </c>
      <c r="N169" s="17" t="str">
        <f aca="false">IF(AND(ISNUMBER(K169),ISNUMBER(L169)),L169-K169,"")</f>
        <v/>
      </c>
      <c r="O169" s="12"/>
    </row>
    <row r="170" customFormat="false" ht="15" hidden="false" customHeight="false" outlineLevel="0" collapsed="false">
      <c r="A170" s="12"/>
      <c r="B170" s="13"/>
      <c r="C170" s="12"/>
      <c r="D170" s="12"/>
      <c r="E170" s="12"/>
      <c r="F170" s="12"/>
      <c r="G170" s="12"/>
      <c r="H170" s="14"/>
      <c r="I170" s="15"/>
      <c r="J170" s="12"/>
      <c r="K170" s="13"/>
      <c r="L170" s="13"/>
      <c r="M170" s="16" t="str">
        <f aca="false">IF(AND(ISNUMBER(H170),ISNUMBER(I170),I170&gt;0),H170/I170,"")</f>
        <v/>
      </c>
      <c r="N170" s="17" t="str">
        <f aca="false">IF(AND(ISNUMBER(K170),ISNUMBER(L170)),L170-K170,"")</f>
        <v/>
      </c>
      <c r="O170" s="12"/>
    </row>
    <row r="171" customFormat="false" ht="15" hidden="false" customHeight="false" outlineLevel="0" collapsed="false">
      <c r="A171" s="12"/>
      <c r="B171" s="13"/>
      <c r="C171" s="12"/>
      <c r="D171" s="12"/>
      <c r="E171" s="12"/>
      <c r="F171" s="12"/>
      <c r="G171" s="12"/>
      <c r="H171" s="14"/>
      <c r="I171" s="15"/>
      <c r="J171" s="12"/>
      <c r="K171" s="13"/>
      <c r="L171" s="13"/>
      <c r="M171" s="16" t="str">
        <f aca="false">IF(AND(ISNUMBER(H171),ISNUMBER(I171),I171&gt;0),H171/I171,"")</f>
        <v/>
      </c>
      <c r="N171" s="17" t="str">
        <f aca="false">IF(AND(ISNUMBER(K171),ISNUMBER(L171)),L171-K171,"")</f>
        <v/>
      </c>
      <c r="O171" s="12"/>
    </row>
    <row r="172" customFormat="false" ht="15" hidden="false" customHeight="false" outlineLevel="0" collapsed="false">
      <c r="A172" s="12"/>
      <c r="B172" s="13"/>
      <c r="C172" s="12"/>
      <c r="D172" s="12"/>
      <c r="E172" s="12"/>
      <c r="F172" s="12"/>
      <c r="G172" s="12"/>
      <c r="H172" s="14"/>
      <c r="I172" s="15"/>
      <c r="J172" s="12"/>
      <c r="K172" s="13"/>
      <c r="L172" s="13"/>
      <c r="M172" s="16" t="str">
        <f aca="false">IF(AND(ISNUMBER(H172),ISNUMBER(I172),I172&gt;0),H172/I172,"")</f>
        <v/>
      </c>
      <c r="N172" s="17" t="str">
        <f aca="false">IF(AND(ISNUMBER(K172),ISNUMBER(L172)),L172-K172,"")</f>
        <v/>
      </c>
      <c r="O172" s="12"/>
    </row>
    <row r="173" customFormat="false" ht="15" hidden="false" customHeight="false" outlineLevel="0" collapsed="false">
      <c r="A173" s="12"/>
      <c r="B173" s="13"/>
      <c r="C173" s="12"/>
      <c r="D173" s="12"/>
      <c r="E173" s="12"/>
      <c r="F173" s="12"/>
      <c r="G173" s="12"/>
      <c r="H173" s="14"/>
      <c r="I173" s="15"/>
      <c r="J173" s="12"/>
      <c r="K173" s="13"/>
      <c r="L173" s="13"/>
      <c r="M173" s="16" t="str">
        <f aca="false">IF(AND(ISNUMBER(H173),ISNUMBER(I173),I173&gt;0),H173/I173,"")</f>
        <v/>
      </c>
      <c r="N173" s="17" t="str">
        <f aca="false">IF(AND(ISNUMBER(K173),ISNUMBER(L173)),L173-K173,"")</f>
        <v/>
      </c>
      <c r="O173" s="12"/>
    </row>
    <row r="174" customFormat="false" ht="15" hidden="false" customHeight="false" outlineLevel="0" collapsed="false">
      <c r="A174" s="12"/>
      <c r="B174" s="13"/>
      <c r="C174" s="12"/>
      <c r="D174" s="12"/>
      <c r="E174" s="12"/>
      <c r="F174" s="12"/>
      <c r="G174" s="12"/>
      <c r="H174" s="14"/>
      <c r="I174" s="15"/>
      <c r="J174" s="12"/>
      <c r="K174" s="13"/>
      <c r="L174" s="13"/>
      <c r="M174" s="16" t="str">
        <f aca="false">IF(AND(ISNUMBER(H174),ISNUMBER(I174),I174&gt;0),H174/I174,"")</f>
        <v/>
      </c>
      <c r="N174" s="17" t="str">
        <f aca="false">IF(AND(ISNUMBER(K174),ISNUMBER(L174)),L174-K174,"")</f>
        <v/>
      </c>
      <c r="O174" s="12"/>
    </row>
    <row r="175" customFormat="false" ht="15" hidden="false" customHeight="false" outlineLevel="0" collapsed="false">
      <c r="A175" s="12"/>
      <c r="B175" s="13"/>
      <c r="C175" s="12"/>
      <c r="D175" s="12"/>
      <c r="E175" s="12"/>
      <c r="F175" s="12"/>
      <c r="G175" s="12"/>
      <c r="H175" s="14"/>
      <c r="I175" s="15"/>
      <c r="J175" s="12"/>
      <c r="K175" s="13"/>
      <c r="L175" s="13"/>
      <c r="M175" s="16" t="str">
        <f aca="false">IF(AND(ISNUMBER(H175),ISNUMBER(I175),I175&gt;0),H175/I175,"")</f>
        <v/>
      </c>
      <c r="N175" s="17" t="str">
        <f aca="false">IF(AND(ISNUMBER(K175),ISNUMBER(L175)),L175-K175,"")</f>
        <v/>
      </c>
      <c r="O175" s="12"/>
    </row>
    <row r="176" customFormat="false" ht="15" hidden="false" customHeight="false" outlineLevel="0" collapsed="false">
      <c r="A176" s="12"/>
      <c r="B176" s="13"/>
      <c r="C176" s="12"/>
      <c r="D176" s="12"/>
      <c r="E176" s="12"/>
      <c r="F176" s="12"/>
      <c r="G176" s="12"/>
      <c r="H176" s="14"/>
      <c r="I176" s="15"/>
      <c r="J176" s="12"/>
      <c r="K176" s="13"/>
      <c r="L176" s="13"/>
      <c r="M176" s="16" t="str">
        <f aca="false">IF(AND(ISNUMBER(H176),ISNUMBER(I176),I176&gt;0),H176/I176,"")</f>
        <v/>
      </c>
      <c r="N176" s="17" t="str">
        <f aca="false">IF(AND(ISNUMBER(K176),ISNUMBER(L176)),L176-K176,"")</f>
        <v/>
      </c>
      <c r="O176" s="12"/>
    </row>
    <row r="177" customFormat="false" ht="15" hidden="false" customHeight="false" outlineLevel="0" collapsed="false">
      <c r="A177" s="12"/>
      <c r="B177" s="13"/>
      <c r="C177" s="12"/>
      <c r="D177" s="12"/>
      <c r="E177" s="12"/>
      <c r="F177" s="12"/>
      <c r="G177" s="12"/>
      <c r="H177" s="14"/>
      <c r="I177" s="15"/>
      <c r="J177" s="12"/>
      <c r="K177" s="13"/>
      <c r="L177" s="13"/>
      <c r="M177" s="16" t="str">
        <f aca="false">IF(AND(ISNUMBER(H177),ISNUMBER(I177),I177&gt;0),H177/I177,"")</f>
        <v/>
      </c>
      <c r="N177" s="17" t="str">
        <f aca="false">IF(AND(ISNUMBER(K177),ISNUMBER(L177)),L177-K177,"")</f>
        <v/>
      </c>
      <c r="O177" s="12"/>
    </row>
    <row r="178" customFormat="false" ht="15" hidden="false" customHeight="false" outlineLevel="0" collapsed="false">
      <c r="A178" s="12"/>
      <c r="B178" s="13"/>
      <c r="C178" s="12"/>
      <c r="D178" s="12"/>
      <c r="E178" s="12"/>
      <c r="F178" s="12"/>
      <c r="G178" s="12"/>
      <c r="H178" s="14"/>
      <c r="I178" s="15"/>
      <c r="J178" s="12"/>
      <c r="K178" s="13"/>
      <c r="L178" s="13"/>
      <c r="M178" s="16" t="str">
        <f aca="false">IF(AND(ISNUMBER(H178),ISNUMBER(I178),I178&gt;0),H178/I178,"")</f>
        <v/>
      </c>
      <c r="N178" s="17" t="str">
        <f aca="false">IF(AND(ISNUMBER(K178),ISNUMBER(L178)),L178-K178,"")</f>
        <v/>
      </c>
      <c r="O178" s="12"/>
    </row>
    <row r="179" customFormat="false" ht="15" hidden="false" customHeight="false" outlineLevel="0" collapsed="false">
      <c r="A179" s="12"/>
      <c r="B179" s="13"/>
      <c r="C179" s="12"/>
      <c r="D179" s="12"/>
      <c r="E179" s="12"/>
      <c r="F179" s="12"/>
      <c r="G179" s="12"/>
      <c r="H179" s="14"/>
      <c r="I179" s="15"/>
      <c r="J179" s="12"/>
      <c r="K179" s="13"/>
      <c r="L179" s="13"/>
      <c r="M179" s="16" t="str">
        <f aca="false">IF(AND(ISNUMBER(H179),ISNUMBER(I179),I179&gt;0),H179/I179,"")</f>
        <v/>
      </c>
      <c r="N179" s="17" t="str">
        <f aca="false">IF(AND(ISNUMBER(K179),ISNUMBER(L179)),L179-K179,"")</f>
        <v/>
      </c>
      <c r="O179" s="12"/>
    </row>
    <row r="180" customFormat="false" ht="15" hidden="false" customHeight="false" outlineLevel="0" collapsed="false">
      <c r="A180" s="12"/>
      <c r="B180" s="13"/>
      <c r="C180" s="12"/>
      <c r="D180" s="12"/>
      <c r="E180" s="12"/>
      <c r="F180" s="12"/>
      <c r="G180" s="12"/>
      <c r="H180" s="14"/>
      <c r="I180" s="15"/>
      <c r="J180" s="12"/>
      <c r="K180" s="13"/>
      <c r="L180" s="13"/>
      <c r="M180" s="16" t="str">
        <f aca="false">IF(AND(ISNUMBER(H180),ISNUMBER(I180),I180&gt;0),H180/I180,"")</f>
        <v/>
      </c>
      <c r="N180" s="17" t="str">
        <f aca="false">IF(AND(ISNUMBER(K180),ISNUMBER(L180)),L180-K180,"")</f>
        <v/>
      </c>
      <c r="O180" s="12"/>
    </row>
    <row r="181" customFormat="false" ht="15" hidden="false" customHeight="false" outlineLevel="0" collapsed="false">
      <c r="A181" s="12"/>
      <c r="B181" s="13"/>
      <c r="C181" s="12"/>
      <c r="D181" s="12"/>
      <c r="E181" s="12"/>
      <c r="F181" s="12"/>
      <c r="G181" s="12"/>
      <c r="H181" s="14"/>
      <c r="I181" s="15"/>
      <c r="J181" s="12"/>
      <c r="K181" s="13"/>
      <c r="L181" s="13"/>
      <c r="M181" s="16" t="str">
        <f aca="false">IF(AND(ISNUMBER(H181),ISNUMBER(I181),I181&gt;0),H181/I181,"")</f>
        <v/>
      </c>
      <c r="N181" s="17" t="str">
        <f aca="false">IF(AND(ISNUMBER(K181),ISNUMBER(L181)),L181-K181,"")</f>
        <v/>
      </c>
      <c r="O181" s="12"/>
    </row>
    <row r="182" customFormat="false" ht="15" hidden="false" customHeight="false" outlineLevel="0" collapsed="false">
      <c r="A182" s="12"/>
      <c r="B182" s="13"/>
      <c r="C182" s="12"/>
      <c r="D182" s="12"/>
      <c r="E182" s="12"/>
      <c r="F182" s="12"/>
      <c r="G182" s="12"/>
      <c r="H182" s="14"/>
      <c r="I182" s="15"/>
      <c r="J182" s="12"/>
      <c r="K182" s="13"/>
      <c r="L182" s="13"/>
      <c r="M182" s="16" t="str">
        <f aca="false">IF(AND(ISNUMBER(H182),ISNUMBER(I182),I182&gt;0),H182/I182,"")</f>
        <v/>
      </c>
      <c r="N182" s="17" t="str">
        <f aca="false">IF(AND(ISNUMBER(K182),ISNUMBER(L182)),L182-K182,"")</f>
        <v/>
      </c>
      <c r="O182" s="12"/>
    </row>
    <row r="183" customFormat="false" ht="15" hidden="false" customHeight="false" outlineLevel="0" collapsed="false">
      <c r="A183" s="12"/>
      <c r="B183" s="13"/>
      <c r="C183" s="12"/>
      <c r="D183" s="12"/>
      <c r="E183" s="12"/>
      <c r="F183" s="12"/>
      <c r="G183" s="12"/>
      <c r="H183" s="14"/>
      <c r="I183" s="15"/>
      <c r="J183" s="12"/>
      <c r="K183" s="13"/>
      <c r="L183" s="13"/>
      <c r="M183" s="16" t="str">
        <f aca="false">IF(AND(ISNUMBER(H183),ISNUMBER(I183),I183&gt;0),H183/I183,"")</f>
        <v/>
      </c>
      <c r="N183" s="17" t="str">
        <f aca="false">IF(AND(ISNUMBER(K183),ISNUMBER(L183)),L183-K183,"")</f>
        <v/>
      </c>
      <c r="O183" s="12"/>
    </row>
    <row r="184" customFormat="false" ht="15" hidden="false" customHeight="false" outlineLevel="0" collapsed="false">
      <c r="A184" s="12"/>
      <c r="B184" s="13"/>
      <c r="C184" s="12"/>
      <c r="D184" s="12"/>
      <c r="E184" s="12"/>
      <c r="F184" s="12"/>
      <c r="G184" s="12"/>
      <c r="H184" s="14"/>
      <c r="I184" s="15"/>
      <c r="J184" s="12"/>
      <c r="K184" s="13"/>
      <c r="L184" s="13"/>
      <c r="M184" s="16" t="str">
        <f aca="false">IF(AND(ISNUMBER(H184),ISNUMBER(I184),I184&gt;0),H184/I184,"")</f>
        <v/>
      </c>
      <c r="N184" s="17" t="str">
        <f aca="false">IF(AND(ISNUMBER(K184),ISNUMBER(L184)),L184-K184,"")</f>
        <v/>
      </c>
      <c r="O184" s="12"/>
    </row>
    <row r="185" customFormat="false" ht="15" hidden="false" customHeight="false" outlineLevel="0" collapsed="false">
      <c r="A185" s="12"/>
      <c r="B185" s="13"/>
      <c r="C185" s="12"/>
      <c r="D185" s="12"/>
      <c r="E185" s="12"/>
      <c r="F185" s="12"/>
      <c r="G185" s="12"/>
      <c r="H185" s="14"/>
      <c r="I185" s="15"/>
      <c r="J185" s="12"/>
      <c r="K185" s="13"/>
      <c r="L185" s="13"/>
      <c r="M185" s="16" t="str">
        <f aca="false">IF(AND(ISNUMBER(H185),ISNUMBER(I185),I185&gt;0),H185/I185,"")</f>
        <v/>
      </c>
      <c r="N185" s="17" t="str">
        <f aca="false">IF(AND(ISNUMBER(K185),ISNUMBER(L185)),L185-K185,"")</f>
        <v/>
      </c>
      <c r="O185" s="12"/>
    </row>
    <row r="186" customFormat="false" ht="15" hidden="false" customHeight="false" outlineLevel="0" collapsed="false">
      <c r="A186" s="12"/>
      <c r="B186" s="13"/>
      <c r="C186" s="12"/>
      <c r="D186" s="12"/>
      <c r="E186" s="12"/>
      <c r="F186" s="12"/>
      <c r="G186" s="12"/>
      <c r="H186" s="14"/>
      <c r="I186" s="15"/>
      <c r="J186" s="12"/>
      <c r="K186" s="13"/>
      <c r="L186" s="13"/>
      <c r="M186" s="16" t="str">
        <f aca="false">IF(AND(ISNUMBER(H186),ISNUMBER(I186),I186&gt;0),H186/I186,"")</f>
        <v/>
      </c>
      <c r="N186" s="17" t="str">
        <f aca="false">IF(AND(ISNUMBER(K186),ISNUMBER(L186)),L186-K186,"")</f>
        <v/>
      </c>
      <c r="O186" s="12"/>
    </row>
    <row r="187" customFormat="false" ht="15" hidden="false" customHeight="false" outlineLevel="0" collapsed="false">
      <c r="A187" s="12"/>
      <c r="B187" s="13"/>
      <c r="C187" s="12"/>
      <c r="D187" s="12"/>
      <c r="E187" s="12"/>
      <c r="F187" s="12"/>
      <c r="G187" s="12"/>
      <c r="H187" s="14"/>
      <c r="I187" s="15"/>
      <c r="J187" s="12"/>
      <c r="K187" s="13"/>
      <c r="L187" s="13"/>
      <c r="M187" s="16" t="str">
        <f aca="false">IF(AND(ISNUMBER(H187),ISNUMBER(I187),I187&gt;0),H187/I187,"")</f>
        <v/>
      </c>
      <c r="N187" s="17" t="str">
        <f aca="false">IF(AND(ISNUMBER(K187),ISNUMBER(L187)),L187-K187,"")</f>
        <v/>
      </c>
      <c r="O187" s="12"/>
    </row>
    <row r="188" customFormat="false" ht="15" hidden="false" customHeight="false" outlineLevel="0" collapsed="false">
      <c r="A188" s="12"/>
      <c r="B188" s="13"/>
      <c r="C188" s="12"/>
      <c r="D188" s="12"/>
      <c r="E188" s="12"/>
      <c r="F188" s="12"/>
      <c r="G188" s="12"/>
      <c r="H188" s="14"/>
      <c r="I188" s="15"/>
      <c r="J188" s="12"/>
      <c r="K188" s="13"/>
      <c r="L188" s="13"/>
      <c r="M188" s="16" t="str">
        <f aca="false">IF(AND(ISNUMBER(H188),ISNUMBER(I188),I188&gt;0),H188/I188,"")</f>
        <v/>
      </c>
      <c r="N188" s="17" t="str">
        <f aca="false">IF(AND(ISNUMBER(K188),ISNUMBER(L188)),L188-K188,"")</f>
        <v/>
      </c>
      <c r="O188" s="12"/>
    </row>
    <row r="189" customFormat="false" ht="15" hidden="false" customHeight="false" outlineLevel="0" collapsed="false">
      <c r="A189" s="12"/>
      <c r="B189" s="13"/>
      <c r="C189" s="12"/>
      <c r="D189" s="12"/>
      <c r="E189" s="12"/>
      <c r="F189" s="12"/>
      <c r="G189" s="12"/>
      <c r="H189" s="14"/>
      <c r="I189" s="15"/>
      <c r="J189" s="12"/>
      <c r="K189" s="13"/>
      <c r="L189" s="13"/>
      <c r="M189" s="16" t="str">
        <f aca="false">IF(AND(ISNUMBER(H189),ISNUMBER(I189),I189&gt;0),H189/I189,"")</f>
        <v/>
      </c>
      <c r="N189" s="17" t="str">
        <f aca="false">IF(AND(ISNUMBER(K189),ISNUMBER(L189)),L189-K189,"")</f>
        <v/>
      </c>
      <c r="O189" s="12"/>
    </row>
    <row r="190" customFormat="false" ht="15" hidden="false" customHeight="false" outlineLevel="0" collapsed="false">
      <c r="A190" s="12"/>
      <c r="B190" s="13"/>
      <c r="C190" s="12"/>
      <c r="D190" s="12"/>
      <c r="E190" s="12"/>
      <c r="F190" s="12"/>
      <c r="G190" s="12"/>
      <c r="H190" s="14"/>
      <c r="I190" s="15"/>
      <c r="J190" s="12"/>
      <c r="K190" s="13"/>
      <c r="L190" s="13"/>
      <c r="M190" s="16" t="str">
        <f aca="false">IF(AND(ISNUMBER(H190),ISNUMBER(I190),I190&gt;0),H190/I190,"")</f>
        <v/>
      </c>
      <c r="N190" s="17" t="str">
        <f aca="false">IF(AND(ISNUMBER(K190),ISNUMBER(L190)),L190-K190,"")</f>
        <v/>
      </c>
      <c r="O190" s="12"/>
    </row>
    <row r="191" customFormat="false" ht="15" hidden="false" customHeight="false" outlineLevel="0" collapsed="false">
      <c r="A191" s="12"/>
      <c r="B191" s="13"/>
      <c r="C191" s="12"/>
      <c r="D191" s="12"/>
      <c r="E191" s="12"/>
      <c r="F191" s="12"/>
      <c r="G191" s="12"/>
      <c r="H191" s="14"/>
      <c r="I191" s="15"/>
      <c r="J191" s="12"/>
      <c r="K191" s="13"/>
      <c r="L191" s="13"/>
      <c r="M191" s="16" t="str">
        <f aca="false">IF(AND(ISNUMBER(H191),ISNUMBER(I191),I191&gt;0),H191/I191,"")</f>
        <v/>
      </c>
      <c r="N191" s="17" t="str">
        <f aca="false">IF(AND(ISNUMBER(K191),ISNUMBER(L191)),L191-K191,"")</f>
        <v/>
      </c>
      <c r="O191" s="12"/>
    </row>
    <row r="192" customFormat="false" ht="15" hidden="false" customHeight="false" outlineLevel="0" collapsed="false">
      <c r="A192" s="12"/>
      <c r="B192" s="13"/>
      <c r="C192" s="12"/>
      <c r="D192" s="12"/>
      <c r="E192" s="12"/>
      <c r="F192" s="12"/>
      <c r="G192" s="12"/>
      <c r="H192" s="14"/>
      <c r="I192" s="15"/>
      <c r="J192" s="12"/>
      <c r="K192" s="13"/>
      <c r="L192" s="13"/>
      <c r="M192" s="16" t="str">
        <f aca="false">IF(AND(ISNUMBER(H192),ISNUMBER(I192),I192&gt;0),H192/I192,"")</f>
        <v/>
      </c>
      <c r="N192" s="17" t="str">
        <f aca="false">IF(AND(ISNUMBER(K192),ISNUMBER(L192)),L192-K192,"")</f>
        <v/>
      </c>
      <c r="O192" s="12"/>
    </row>
    <row r="193" customFormat="false" ht="15" hidden="false" customHeight="false" outlineLevel="0" collapsed="false">
      <c r="A193" s="12"/>
      <c r="B193" s="13"/>
      <c r="C193" s="12"/>
      <c r="D193" s="12"/>
      <c r="E193" s="12"/>
      <c r="F193" s="12"/>
      <c r="G193" s="12"/>
      <c r="H193" s="14"/>
      <c r="I193" s="15"/>
      <c r="J193" s="12"/>
      <c r="K193" s="13"/>
      <c r="L193" s="13"/>
      <c r="M193" s="16" t="str">
        <f aca="false">IF(AND(ISNUMBER(H193),ISNUMBER(I193),I193&gt;0),H193/I193,"")</f>
        <v/>
      </c>
      <c r="N193" s="17" t="str">
        <f aca="false">IF(AND(ISNUMBER(K193),ISNUMBER(L193)),L193-K193,"")</f>
        <v/>
      </c>
      <c r="O193" s="12"/>
    </row>
    <row r="194" customFormat="false" ht="15" hidden="false" customHeight="false" outlineLevel="0" collapsed="false">
      <c r="A194" s="12"/>
      <c r="B194" s="13"/>
      <c r="C194" s="12"/>
      <c r="D194" s="12"/>
      <c r="E194" s="12"/>
      <c r="F194" s="12"/>
      <c r="G194" s="12"/>
      <c r="H194" s="14"/>
      <c r="I194" s="15"/>
      <c r="J194" s="12"/>
      <c r="K194" s="13"/>
      <c r="L194" s="13"/>
      <c r="M194" s="16" t="str">
        <f aca="false">IF(AND(ISNUMBER(H194),ISNUMBER(I194),I194&gt;0),H194/I194,"")</f>
        <v/>
      </c>
      <c r="N194" s="17" t="str">
        <f aca="false">IF(AND(ISNUMBER(K194),ISNUMBER(L194)),L194-K194,"")</f>
        <v/>
      </c>
      <c r="O194" s="12"/>
    </row>
    <row r="195" customFormat="false" ht="15" hidden="false" customHeight="false" outlineLevel="0" collapsed="false">
      <c r="A195" s="12"/>
      <c r="B195" s="13"/>
      <c r="C195" s="12"/>
      <c r="D195" s="12"/>
      <c r="E195" s="12"/>
      <c r="F195" s="12"/>
      <c r="G195" s="12"/>
      <c r="H195" s="14"/>
      <c r="I195" s="15"/>
      <c r="J195" s="12"/>
      <c r="K195" s="13"/>
      <c r="L195" s="13"/>
      <c r="M195" s="16" t="str">
        <f aca="false">IF(AND(ISNUMBER(H195),ISNUMBER(I195),I195&gt;0),H195/I195,"")</f>
        <v/>
      </c>
      <c r="N195" s="17" t="str">
        <f aca="false">IF(AND(ISNUMBER(K195),ISNUMBER(L195)),L195-K195,"")</f>
        <v/>
      </c>
      <c r="O195" s="12"/>
    </row>
    <row r="196" customFormat="false" ht="15" hidden="false" customHeight="false" outlineLevel="0" collapsed="false">
      <c r="A196" s="12"/>
      <c r="B196" s="13"/>
      <c r="C196" s="12"/>
      <c r="D196" s="12"/>
      <c r="E196" s="12"/>
      <c r="F196" s="12"/>
      <c r="G196" s="12"/>
      <c r="H196" s="14"/>
      <c r="I196" s="15"/>
      <c r="J196" s="12"/>
      <c r="K196" s="13"/>
      <c r="L196" s="13"/>
      <c r="M196" s="16" t="str">
        <f aca="false">IF(AND(ISNUMBER(H196),ISNUMBER(I196),I196&gt;0),H196/I196,"")</f>
        <v/>
      </c>
      <c r="N196" s="17" t="str">
        <f aca="false">IF(AND(ISNUMBER(K196),ISNUMBER(L196)),L196-K196,"")</f>
        <v/>
      </c>
      <c r="O196" s="12"/>
    </row>
    <row r="197" customFormat="false" ht="15" hidden="false" customHeight="false" outlineLevel="0" collapsed="false">
      <c r="A197" s="12"/>
      <c r="B197" s="13"/>
      <c r="C197" s="12"/>
      <c r="D197" s="12"/>
      <c r="E197" s="12"/>
      <c r="F197" s="12"/>
      <c r="G197" s="12"/>
      <c r="H197" s="14"/>
      <c r="I197" s="15"/>
      <c r="J197" s="12"/>
      <c r="K197" s="13"/>
      <c r="L197" s="13"/>
      <c r="M197" s="16" t="str">
        <f aca="false">IF(AND(ISNUMBER(H197),ISNUMBER(I197),I197&gt;0),H197/I197,"")</f>
        <v/>
      </c>
      <c r="N197" s="17" t="str">
        <f aca="false">IF(AND(ISNUMBER(K197),ISNUMBER(L197)),L197-K197,"")</f>
        <v/>
      </c>
      <c r="O197" s="12"/>
    </row>
    <row r="198" customFormat="false" ht="15" hidden="false" customHeight="false" outlineLevel="0" collapsed="false">
      <c r="A198" s="12"/>
      <c r="B198" s="13"/>
      <c r="C198" s="12"/>
      <c r="D198" s="12"/>
      <c r="E198" s="12"/>
      <c r="F198" s="12"/>
      <c r="G198" s="12"/>
      <c r="H198" s="14"/>
      <c r="I198" s="15"/>
      <c r="J198" s="12"/>
      <c r="K198" s="13"/>
      <c r="L198" s="13"/>
      <c r="M198" s="16" t="str">
        <f aca="false">IF(AND(ISNUMBER(H198),ISNUMBER(I198),I198&gt;0),H198/I198,"")</f>
        <v/>
      </c>
      <c r="N198" s="17" t="str">
        <f aca="false">IF(AND(ISNUMBER(K198),ISNUMBER(L198)),L198-K198,"")</f>
        <v/>
      </c>
      <c r="O198" s="12"/>
    </row>
    <row r="199" customFormat="false" ht="15" hidden="false" customHeight="false" outlineLevel="0" collapsed="false">
      <c r="A199" s="12"/>
      <c r="B199" s="13"/>
      <c r="C199" s="12"/>
      <c r="D199" s="12"/>
      <c r="E199" s="12"/>
      <c r="F199" s="12"/>
      <c r="G199" s="12"/>
      <c r="H199" s="14"/>
      <c r="I199" s="15"/>
      <c r="J199" s="12"/>
      <c r="K199" s="13"/>
      <c r="L199" s="13"/>
      <c r="M199" s="16" t="str">
        <f aca="false">IF(AND(ISNUMBER(H199),ISNUMBER(I199),I199&gt;0),H199/I199,"")</f>
        <v/>
      </c>
      <c r="N199" s="17" t="str">
        <f aca="false">IF(AND(ISNUMBER(K199),ISNUMBER(L199)),L199-K199,"")</f>
        <v/>
      </c>
      <c r="O199" s="12"/>
    </row>
    <row r="200" customFormat="false" ht="15" hidden="false" customHeight="false" outlineLevel="0" collapsed="false">
      <c r="A200" s="12"/>
      <c r="B200" s="13"/>
      <c r="C200" s="12"/>
      <c r="D200" s="12"/>
      <c r="E200" s="12"/>
      <c r="F200" s="12"/>
      <c r="G200" s="12"/>
      <c r="H200" s="14"/>
      <c r="I200" s="15"/>
      <c r="J200" s="12"/>
      <c r="K200" s="13"/>
      <c r="L200" s="13"/>
      <c r="M200" s="16" t="str">
        <f aca="false">IF(AND(ISNUMBER(H200),ISNUMBER(I200),I200&gt;0),H200/I200,"")</f>
        <v/>
      </c>
      <c r="N200" s="17" t="str">
        <f aca="false">IF(AND(ISNUMBER(K200),ISNUMBER(L200)),L200-K200,"")</f>
        <v/>
      </c>
      <c r="O200" s="12"/>
    </row>
    <row r="201" customFormat="false" ht="15" hidden="false" customHeight="false" outlineLevel="0" collapsed="false">
      <c r="A201" s="12"/>
      <c r="B201" s="13"/>
      <c r="C201" s="12"/>
      <c r="D201" s="12"/>
      <c r="E201" s="12"/>
      <c r="F201" s="12"/>
      <c r="G201" s="12"/>
      <c r="H201" s="14"/>
      <c r="I201" s="15"/>
      <c r="J201" s="12"/>
      <c r="K201" s="13"/>
      <c r="L201" s="13"/>
      <c r="M201" s="16" t="str">
        <f aca="false">IF(AND(ISNUMBER(H201),ISNUMBER(I201),I201&gt;0),H201/I201,"")</f>
        <v/>
      </c>
      <c r="N201" s="17" t="str">
        <f aca="false">IF(AND(ISNUMBER(K201),ISNUMBER(L201)),L201-K201,"")</f>
        <v/>
      </c>
      <c r="O201" s="12"/>
    </row>
    <row r="202" customFormat="false" ht="15" hidden="false" customHeight="false" outlineLevel="0" collapsed="false">
      <c r="A202" s="12"/>
      <c r="B202" s="13"/>
      <c r="C202" s="12"/>
      <c r="D202" s="12"/>
      <c r="E202" s="12"/>
      <c r="F202" s="12"/>
      <c r="G202" s="12"/>
      <c r="H202" s="14"/>
      <c r="I202" s="15"/>
      <c r="J202" s="12"/>
      <c r="K202" s="13"/>
      <c r="L202" s="13"/>
      <c r="M202" s="16" t="str">
        <f aca="false">IF(AND(ISNUMBER(H202),ISNUMBER(I202),I202&gt;0),H202/I202,"")</f>
        <v/>
      </c>
      <c r="N202" s="17" t="str">
        <f aca="false">IF(AND(ISNUMBER(K202),ISNUMBER(L202)),L202-K202,"")</f>
        <v/>
      </c>
      <c r="O202" s="12"/>
    </row>
    <row r="203" customFormat="false" ht="15" hidden="false" customHeight="false" outlineLevel="0" collapsed="false">
      <c r="A203" s="12"/>
      <c r="B203" s="13"/>
      <c r="C203" s="12"/>
      <c r="D203" s="12"/>
      <c r="E203" s="12"/>
      <c r="F203" s="12"/>
      <c r="G203" s="12"/>
      <c r="H203" s="14"/>
      <c r="I203" s="15"/>
      <c r="J203" s="12"/>
      <c r="K203" s="13"/>
      <c r="L203" s="13"/>
      <c r="M203" s="16" t="str">
        <f aca="false">IF(AND(ISNUMBER(H203),ISNUMBER(I203),I203&gt;0),H203/I203,"")</f>
        <v/>
      </c>
      <c r="N203" s="17" t="str">
        <f aca="false">IF(AND(ISNUMBER(K203),ISNUMBER(L203)),L203-K203,"")</f>
        <v/>
      </c>
      <c r="O203" s="12"/>
    </row>
    <row r="204" customFormat="false" ht="15" hidden="false" customHeight="false" outlineLevel="0" collapsed="false">
      <c r="A204" s="12"/>
      <c r="B204" s="13"/>
      <c r="C204" s="12"/>
      <c r="D204" s="12"/>
      <c r="E204" s="12"/>
      <c r="F204" s="12"/>
      <c r="G204" s="12"/>
      <c r="H204" s="14"/>
      <c r="I204" s="15"/>
      <c r="J204" s="12"/>
      <c r="K204" s="13"/>
      <c r="L204" s="13"/>
      <c r="M204" s="16" t="str">
        <f aca="false">IF(AND(ISNUMBER(H204),ISNUMBER(I204),I204&gt;0),H204/I204,"")</f>
        <v/>
      </c>
      <c r="N204" s="17" t="str">
        <f aca="false">IF(AND(ISNUMBER(K204),ISNUMBER(L204)),L204-K204,"")</f>
        <v/>
      </c>
      <c r="O204" s="12"/>
    </row>
  </sheetData>
  <autoFilter ref="A4:O204"/>
  <conditionalFormatting sqref="A5:O204">
    <cfRule type="expression" priority="2" aboveAverage="0" equalAverage="0" bottom="0" percent="0" rank="0" text="" dxfId="6">
      <formula>AND(ISNUMBER($K5),$J5&lt;&gt;"Paid",TODAY()-$K5&gt;30)</formula>
    </cfRule>
  </conditionalFormatting>
  <dataValidations count="2">
    <dataValidation allowBlank="true" error="Choose Booked, In transit, Delivered, Invoiced or Paid." errorStyle="stop" errorTitle="Pick a status" operator="between" showDropDown="false" showErrorMessage="true" showInputMessage="false" sqref="J5:J204" type="list">
      <formula1>"Booked,In transit,Delivered,Invoiced,Paid"</formula1>
      <formula2>0</formula2>
    </dataValidation>
    <dataValidation allowBlank="true" error="Enter a date like 10/28/2026." errorStyle="stop" errorTitle="Enter a date" operator="greaterThan" showDropDown="false" showErrorMessage="true" showInputMessage="false" sqref="B5:B204 K5:L204" type="date">
      <formula1>36526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347FF"/>
    <pageSetUpPr fitToPage="false"/>
  </sheetPr>
  <dimension ref="B2:D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14"/>
    <col collapsed="false" customWidth="true" hidden="false" outlineLevel="0" max="4" min="4" style="0" width="18"/>
  </cols>
  <sheetData>
    <row r="2" customFormat="false" ht="19.7" hidden="false" customHeight="false" outlineLevel="0" collapsed="false">
      <c r="B2" s="9" t="s">
        <v>46</v>
      </c>
    </row>
    <row r="3" customFormat="false" ht="15" hidden="false" customHeight="false" outlineLevel="0" collapsed="false">
      <c r="B3" s="10" t="s">
        <v>47</v>
      </c>
    </row>
    <row r="5" customFormat="false" ht="15" hidden="false" customHeight="false" outlineLevel="0" collapsed="false">
      <c r="B5" s="18" t="s">
        <v>48</v>
      </c>
      <c r="C5" s="18" t="s">
        <v>22</v>
      </c>
      <c r="D5" s="18" t="s">
        <v>49</v>
      </c>
    </row>
    <row r="6" customFormat="false" ht="15" hidden="false" customHeight="false" outlineLevel="0" collapsed="false">
      <c r="B6" s="19" t="s">
        <v>50</v>
      </c>
      <c r="C6" s="19" t="n">
        <f aca="false">COUNTIF(Loads!$J$5:$J$204,B6)</f>
        <v>0</v>
      </c>
      <c r="D6" s="20" t="n">
        <f aca="false">SUMIFS(Loads!$H$5:$H$204,Loads!$J$5:$J$204,B6)</f>
        <v>0</v>
      </c>
    </row>
    <row r="7" customFormat="false" ht="15" hidden="false" customHeight="false" outlineLevel="0" collapsed="false">
      <c r="B7" s="19" t="s">
        <v>51</v>
      </c>
      <c r="C7" s="19" t="n">
        <f aca="false">COUNTIF(Loads!$J$5:$J$204,B7)</f>
        <v>0</v>
      </c>
      <c r="D7" s="20" t="n">
        <f aca="false">SUMIFS(Loads!$H$5:$H$204,Loads!$J$5:$J$204,B7)</f>
        <v>0</v>
      </c>
    </row>
    <row r="8" customFormat="false" ht="15" hidden="false" customHeight="false" outlineLevel="0" collapsed="false">
      <c r="B8" s="19" t="s">
        <v>52</v>
      </c>
      <c r="C8" s="19" t="n">
        <f aca="false">COUNTIF(Loads!$J$5:$J$204,B8)</f>
        <v>0</v>
      </c>
      <c r="D8" s="20" t="n">
        <f aca="false">SUMIFS(Loads!$H$5:$H$204,Loads!$J$5:$J$204,B8)</f>
        <v>0</v>
      </c>
    </row>
    <row r="9" customFormat="false" ht="15" hidden="false" customHeight="false" outlineLevel="0" collapsed="false">
      <c r="B9" s="19" t="s">
        <v>44</v>
      </c>
      <c r="C9" s="19" t="n">
        <f aca="false">COUNTIF(Loads!$J$5:$J$204,B9)</f>
        <v>1</v>
      </c>
      <c r="D9" s="20" t="n">
        <f aca="false">SUMIFS(Loads!$H$5:$H$204,Loads!$J$5:$J$204,B9)</f>
        <v>1850</v>
      </c>
    </row>
    <row r="10" customFormat="false" ht="15" hidden="false" customHeight="false" outlineLevel="0" collapsed="false">
      <c r="B10" s="19" t="s">
        <v>53</v>
      </c>
      <c r="C10" s="19" t="n">
        <f aca="false">COUNTIF(Loads!$J$5:$J$204,B10)</f>
        <v>0</v>
      </c>
      <c r="D10" s="20" t="n">
        <f aca="false">SUMIFS(Loads!$H$5:$H$204,Loads!$J$5:$J$204,B10)</f>
        <v>0</v>
      </c>
    </row>
    <row r="11" customFormat="false" ht="15" hidden="false" customHeight="false" outlineLevel="0" collapsed="false">
      <c r="B11" s="21" t="s">
        <v>54</v>
      </c>
      <c r="C11" s="21" t="n">
        <f aca="false">SUM(C6:C10)</f>
        <v>1</v>
      </c>
      <c r="D11" s="22" t="n">
        <f aca="false">SUM(D6:D10)</f>
        <v>1850</v>
      </c>
    </row>
    <row r="13" customFormat="false" ht="15" hidden="false" customHeight="false" outlineLevel="0" collapsed="false">
      <c r="B13" s="18" t="s">
        <v>55</v>
      </c>
      <c r="C13" s="18"/>
      <c r="D13" s="18" t="s">
        <v>56</v>
      </c>
    </row>
    <row r="14" customFormat="false" ht="15" hidden="false" customHeight="false" outlineLevel="0" collapsed="false">
      <c r="B14" s="19" t="s">
        <v>57</v>
      </c>
      <c r="C14" s="23"/>
      <c r="D14" s="20" t="n">
        <f aca="false">D8+D9</f>
        <v>1850</v>
      </c>
    </row>
    <row r="15" customFormat="false" ht="15" hidden="false" customHeight="false" outlineLevel="0" collapsed="false">
      <c r="B15" s="19" t="s">
        <v>58</v>
      </c>
      <c r="C15" s="23"/>
      <c r="D15" s="20" t="n">
        <f aca="false">D10</f>
        <v>0</v>
      </c>
    </row>
    <row r="16" customFormat="false" ht="15" hidden="false" customHeight="false" outlineLevel="0" collapsed="false">
      <c r="B16" s="19" t="s">
        <v>59</v>
      </c>
      <c r="C16" s="23"/>
      <c r="D16" s="24" t="n">
        <f aca="false">IFERROR(SUMIFS(Loads!$H$5:$H$204,Loads!$I$5:$I$204,"&gt;0")/SUM(Loads!$I$5:$I$204),0)</f>
        <v>4.51219512195122</v>
      </c>
    </row>
    <row r="17" customFormat="false" ht="15" hidden="false" customHeight="false" outlineLevel="0" collapsed="false">
      <c r="B17" s="19" t="s">
        <v>60</v>
      </c>
      <c r="C17" s="23"/>
      <c r="D17" s="25" t="n">
        <f aca="false">SUM(Loads!$I$5:$I$204)</f>
        <v>410</v>
      </c>
    </row>
    <row r="18" customFormat="false" ht="15" hidden="false" customHeight="false" outlineLevel="0" collapsed="false">
      <c r="B18" s="19" t="s">
        <v>61</v>
      </c>
      <c r="C18" s="23"/>
      <c r="D18" s="26" t="n">
        <f aca="false">IFERROR(AVERAGE(Loads!$N$5:$N$204),0)</f>
        <v>0</v>
      </c>
    </row>
    <row r="19" customFormat="false" ht="15" hidden="false" customHeight="false" outlineLevel="0" collapsed="false">
      <c r="B19" s="19" t="s">
        <v>62</v>
      </c>
      <c r="C19" s="23"/>
      <c r="D19" s="27" t="n">
        <f aca="true">SUMPRODUCT(--ISNUMBER(Loads!$K$5:$K$204),--(Loads!$J$5:$J$204&lt;&gt;"Paid"),--(TODAY()-Loads!$K$5:$K$204&gt;30))</f>
        <v>0</v>
      </c>
    </row>
    <row r="21" customFormat="false" ht="15" hidden="false" customHeight="false" outlineLevel="0" collapsed="false">
      <c r="B21" s="28" t="s">
        <v>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2026-10-29T22:27:11Z</dcterms:created>
  <dc:creator>openpyxl</dc:creator>
  <dc:description/>
  <dc:language>en-US</dc:language>
  <cp:lastModifiedBy/>
  <dcterms:modified xsi:type="dcterms:W3CDTF">2026-10-29T22:27:11Z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